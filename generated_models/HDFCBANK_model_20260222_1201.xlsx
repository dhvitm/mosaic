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P&amp;L" sheetId="3" state="visible" r:id="rId3"/>
    <sheet xmlns:r="http://schemas.openxmlformats.org/officeDocument/2006/relationships" name="Balance Sheet" sheetId="4" state="visible" r:id="rId4"/>
    <sheet xmlns:r="http://schemas.openxmlformats.org/officeDocument/2006/relationships" name="ROE Tree" sheetId="5" state="visible" r:id="rId5"/>
    <sheet xmlns:r="http://schemas.openxmlformats.org/officeDocument/2006/relationships" name="Quarterly" sheetId="6" state="visible" r:id="rId6"/>
    <sheet xmlns:r="http://schemas.openxmlformats.org/officeDocument/2006/relationships" name="Key Ratios" sheetId="7" state="visible" r:id="rId7"/>
    <sheet xmlns:r="http://schemas.openxmlformats.org/officeDocument/2006/relationships" name="Valuation" sheetId="8" state="visible" r:id="rId8"/>
    <sheet xmlns:r="http://schemas.openxmlformats.org/officeDocument/2006/relationships" name="Peer Comparison" sheetId="9" state="visible" r:id="rId9"/>
    <sheet xmlns:r="http://schemas.openxmlformats.org/officeDocument/2006/relationships" name="Thesi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0.0%"/>
    <numFmt numFmtId="166" formatCode="0.000"/>
  </numFmts>
  <fonts count="20">
    <font>
      <name val="Calibri"/>
      <family val="2"/>
      <color theme="1"/>
      <sz val="11"/>
      <scheme val="minor"/>
    </font>
    <font>
      <b val="1"/>
      <color rgb="001F4E79"/>
      <sz val="24"/>
    </font>
    <font>
      <b val="1"/>
      <sz val="18"/>
    </font>
    <font>
      <color rgb="00666666"/>
      <sz val="12"/>
    </font>
    <font>
      <i val="1"/>
      <color rgb="00999999"/>
      <sz val="10"/>
    </font>
    <font>
      <b val="1"/>
      <color rgb="002F5496"/>
      <sz val="12"/>
    </font>
    <font>
      <b val="1"/>
    </font>
    <font>
      <b val="1"/>
      <color rgb="00FF9900"/>
      <sz val="14"/>
    </font>
    <font>
      <b val="1"/>
      <sz val="14"/>
    </font>
    <font>
      <b val="1"/>
      <color rgb="001F4E79"/>
      <sz val="16"/>
    </font>
    <font>
      <i val="1"/>
      <color rgb="00666666"/>
      <sz val="10"/>
    </font>
    <font>
      <b val="1"/>
      <color rgb="00FFFFFF"/>
      <sz val="11"/>
    </font>
    <font>
      <name val="Consolas"/>
      <sz val="10"/>
    </font>
    <font>
      <b val="1"/>
      <i val="1"/>
    </font>
    <font>
      <b val="1"/>
      <color rgb="001F4E79"/>
    </font>
    <font>
      <b val="1"/>
      <color rgb="001F4E79"/>
      <sz val="12"/>
    </font>
    <font>
      <i val="1"/>
      <color rgb="00666666"/>
    </font>
    <font>
      <b val="1"/>
      <sz val="12"/>
    </font>
    <font>
      <b val="1"/>
      <color rgb="001F4E79"/>
      <sz val="14"/>
    </font>
    <font>
      <b val="1"/>
      <color rgb="00FF9900"/>
      <sz val="24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DDEBF7"/>
        <bgColor rgb="00DDEB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0" fillId="0" borderId="0" applyAlignment="1" pivotButton="0" quotePrefix="0" xfId="0">
      <alignment wrapText="1"/>
    </xf>
    <xf numFmtId="0" fontId="9" fillId="0" borderId="0" pivotButton="0" quotePrefix="0" xfId="0"/>
    <xf numFmtId="0" fontId="10" fillId="0" borderId="0" pivotButton="0" quotePrefix="0" xfId="0"/>
    <xf numFmtId="0" fontId="11" fillId="2" borderId="1" applyAlignment="1" pivotButton="0" quotePrefix="0" xfId="0">
      <alignment horizontal="center" vertical="center"/>
    </xf>
    <xf numFmtId="0" fontId="0" fillId="0" borderId="1" pivotButton="0" quotePrefix="0" xfId="0"/>
    <xf numFmtId="2" fontId="12" fillId="3" borderId="1" applyAlignment="1" pivotButton="0" quotePrefix="0" xfId="0">
      <alignment horizontal="right"/>
    </xf>
    <xf numFmtId="4" fontId="12" fillId="0" borderId="1" applyAlignment="1" pivotButton="0" quotePrefix="0" xfId="0">
      <alignment horizontal="right"/>
    </xf>
    <xf numFmtId="4" fontId="0" fillId="4" borderId="1" applyAlignment="1" pivotButton="0" quotePrefix="0" xfId="0">
      <alignment horizontal="right"/>
    </xf>
    <xf numFmtId="0" fontId="6" fillId="0" borderId="1" pivotButton="0" quotePrefix="0" xfId="0"/>
    <xf numFmtId="4" fontId="6" fillId="0" borderId="1" pivotButton="0" quotePrefix="0" xfId="0"/>
    <xf numFmtId="4" fontId="6" fillId="4" borderId="1" applyAlignment="1" pivotButton="0" quotePrefix="0" xfId="0">
      <alignment horizontal="right"/>
    </xf>
    <xf numFmtId="0" fontId="12" fillId="0" borderId="1" applyAlignment="1" pivotButton="0" quotePrefix="0" xfId="0">
      <alignment horizontal="right"/>
    </xf>
    <xf numFmtId="0" fontId="13" fillId="0" borderId="0" pivotButton="0" quotePrefix="0" xfId="0"/>
    <xf numFmtId="164" fontId="0" fillId="0" borderId="1" pivotButton="0" quotePrefix="0" xfId="0"/>
    <xf numFmtId="164" fontId="0" fillId="4" borderId="1" pivotButton="0" quotePrefix="0" xfId="0"/>
    <xf numFmtId="0" fontId="0" fillId="0" borderId="1" applyAlignment="1" pivotButton="0" quotePrefix="0" xfId="0">
      <alignment horizontal="right"/>
    </xf>
    <xf numFmtId="0" fontId="14" fillId="5" borderId="1" pivotButton="0" quotePrefix="0" xfId="0"/>
    <xf numFmtId="0" fontId="0" fillId="5" borderId="1" pivotButton="0" quotePrefix="0" xfId="0"/>
    <xf numFmtId="0" fontId="0" fillId="4" borderId="1" applyAlignment="1" pivotButton="0" quotePrefix="0" xfId="0">
      <alignment horizontal="right"/>
    </xf>
    <xf numFmtId="2" fontId="6" fillId="0" borderId="1" applyAlignment="1" pivotButton="0" quotePrefix="0" xfId="0">
      <alignment horizontal="right"/>
    </xf>
    <xf numFmtId="2" fontId="6" fillId="4" borderId="1" applyAlignment="1" pivotButton="0" quotePrefix="0" xfId="0">
      <alignment horizontal="right"/>
    </xf>
    <xf numFmtId="2" fontId="15" fillId="0" borderId="1" applyAlignment="1" pivotButton="0" quotePrefix="0" xfId="0">
      <alignment horizontal="right"/>
    </xf>
    <xf numFmtId="2" fontId="15" fillId="4" borderId="1" applyAlignment="1" pivotButton="0" quotePrefix="0" xfId="0">
      <alignment horizontal="right"/>
    </xf>
    <xf numFmtId="2" fontId="16" fillId="0" borderId="1" applyAlignment="1" pivotButton="0" quotePrefix="0" xfId="0">
      <alignment horizontal="right"/>
    </xf>
    <xf numFmtId="2" fontId="16" fillId="4" borderId="1" applyAlignment="1" pivotButton="0" quotePrefix="0" xfId="0">
      <alignment horizontal="right"/>
    </xf>
    <xf numFmtId="2" fontId="12" fillId="0" borderId="1" applyAlignment="1" pivotButton="0" quotePrefix="0" xfId="0">
      <alignment horizontal="right"/>
    </xf>
    <xf numFmtId="165" fontId="0" fillId="3" borderId="1" pivotButton="0" quotePrefix="0" xfId="0"/>
    <xf numFmtId="2" fontId="0" fillId="3" borderId="1" pivotButton="0" quotePrefix="0" xfId="0"/>
    <xf numFmtId="165" fontId="6" fillId="0" borderId="1" pivotButton="0" quotePrefix="0" xfId="0"/>
    <xf numFmtId="4" fontId="0" fillId="3" borderId="1" pivotButton="0" quotePrefix="0" xfId="0"/>
    <xf numFmtId="0" fontId="5" fillId="0" borderId="1" pivotButton="0" quotePrefix="0" xfId="0"/>
    <xf numFmtId="3" fontId="0" fillId="4" borderId="1" pivotButton="0" quotePrefix="0" xfId="0"/>
    <xf numFmtId="3" fontId="0" fillId="4" borderId="0" pivotButton="0" quotePrefix="0" xfId="0"/>
    <xf numFmtId="165" fontId="6" fillId="4" borderId="1" pivotButton="0" quotePrefix="0" xfId="0"/>
    <xf numFmtId="165" fontId="6" fillId="4" borderId="0" pivotButton="0" quotePrefix="0" xfId="0"/>
    <xf numFmtId="3" fontId="6" fillId="4" borderId="1" pivotButton="0" quotePrefix="0" xfId="0"/>
    <xf numFmtId="3" fontId="6" fillId="4" borderId="0" pivotButton="0" quotePrefix="0" xfId="0"/>
    <xf numFmtId="166" fontId="0" fillId="4" borderId="1" pivotButton="0" quotePrefix="0" xfId="0"/>
    <xf numFmtId="166" fontId="0" fillId="4" borderId="0" pivotButton="0" quotePrefix="0" xfId="0"/>
    <xf numFmtId="3" fontId="0" fillId="0" borderId="1" pivotButton="0" quotePrefix="0" xfId="0"/>
    <xf numFmtId="3" fontId="6" fillId="0" borderId="1" pivotButton="0" quotePrefix="0" xfId="0"/>
    <xf numFmtId="0" fontId="17" fillId="0" borderId="1" pivotButton="0" quotePrefix="0" xfId="0"/>
    <xf numFmtId="3" fontId="18" fillId="0" borderId="1" pivotButton="0" quotePrefix="0" xfId="0"/>
    <xf numFmtId="4" fontId="0" fillId="0" borderId="1" pivotButton="0" quotePrefix="0" xfId="0"/>
    <xf numFmtId="0" fontId="19" fillId="0" borderId="1" pivotButton="0" quotePrefix="0" xfId="0"/>
    <xf numFmtId="0" fontId="12" fillId="0" borderId="1" pivotButton="0" quotePrefix="0" xfId="0"/>
    <xf numFmtId="0" fontId="17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FINANCIAL MODEL</t>
        </is>
      </c>
    </row>
    <row r="2">
      <c r="A2" s="2" t="inlineStr">
        <is>
          <t>HDFC Bank Ltd</t>
        </is>
      </c>
    </row>
    <row r="3">
      <c r="A3" s="3" t="inlineStr">
        <is>
          <t>Ticker: HDFCBANK</t>
        </is>
      </c>
    </row>
    <row r="5">
      <c r="A5" s="4" t="inlineStr">
        <is>
          <t>Generated: 22 February 2026 12:01</t>
        </is>
      </c>
    </row>
    <row r="7">
      <c r="A7" s="5" t="inlineStr">
        <is>
          <t>KEY DATA</t>
        </is>
      </c>
    </row>
    <row r="8">
      <c r="A8" t="inlineStr">
        <is>
          <t>Sector</t>
        </is>
      </c>
      <c r="B8" s="6" t="inlineStr">
        <is>
          <t>Financial Services</t>
        </is>
      </c>
    </row>
    <row r="9">
      <c r="A9" t="inlineStr">
        <is>
          <t>Market Cap</t>
        </is>
      </c>
      <c r="B9" s="6" t="inlineStr">
        <is>
          <t>Rs.1,322,419 Cr</t>
        </is>
      </c>
    </row>
    <row r="10">
      <c r="A10" t="inlineStr">
        <is>
          <t>Current Price</t>
        </is>
      </c>
      <c r="B10" s="6" t="inlineStr">
        <is>
          <t>Rs.1,737.95</t>
        </is>
      </c>
    </row>
    <row r="13">
      <c r="A13" s="5" t="inlineStr">
        <is>
          <t>RECOMMENDATION</t>
        </is>
      </c>
    </row>
    <row r="14">
      <c r="A14" t="inlineStr">
        <is>
          <t>Rating</t>
        </is>
      </c>
      <c r="B14" s="7" t="inlineStr">
        <is>
          <t>HOLD</t>
        </is>
      </c>
    </row>
    <row r="15">
      <c r="A15" t="inlineStr">
        <is>
          <t>Target Price</t>
        </is>
      </c>
      <c r="B15" s="8" t="inlineStr">
        <is>
          <t>Rs.1,820</t>
        </is>
      </c>
    </row>
    <row r="16">
      <c r="A16" t="inlineStr">
        <is>
          <t>Upside</t>
        </is>
      </c>
      <c r="B16" t="inlineStr">
        <is>
          <t>4.7%</t>
        </is>
      </c>
    </row>
    <row r="19">
      <c r="A19" s="5" t="inlineStr">
        <is>
          <t>INVESTMENT THESIS</t>
        </is>
      </c>
    </row>
    <row r="20">
      <c r="A20" s="9" t="inlineStr">
        <is>
          <t>HOLD with target price of ₹1820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0" t="inlineStr">
        <is>
          <t>FORECAST ASSUMPTIONS</t>
        </is>
      </c>
    </row>
    <row r="2">
      <c r="A2" s="11" t="inlineStr">
        <is>
          <t>Change yellow cells to update projections. All linked sheets will recalculate.</t>
        </is>
      </c>
    </row>
    <row r="4">
      <c r="A4" s="12" t="inlineStr">
        <is>
          <t>Assumption</t>
        </is>
      </c>
      <c r="B4" s="12" t="inlineStr">
        <is>
          <t>FY26E</t>
        </is>
      </c>
      <c r="C4" s="12" t="inlineStr">
        <is>
          <t>FY27E</t>
        </is>
      </c>
      <c r="D4" s="12" t="inlineStr">
        <is>
          <t>FY28E</t>
        </is>
      </c>
      <c r="E4" s="12" t="inlineStr">
        <is>
          <t>FY29E</t>
        </is>
      </c>
      <c r="F4" s="12" t="inlineStr">
        <is>
          <t>FY30E</t>
        </is>
      </c>
    </row>
    <row r="5">
      <c r="A5" s="13" t="inlineStr">
        <is>
          <t>Loan/Advances Growth (%)</t>
        </is>
      </c>
      <c r="B5" s="14" t="n">
        <v>11.9</v>
      </c>
      <c r="C5" s="14" t="n">
        <v>13.5</v>
      </c>
      <c r="D5" s="14" t="n">
        <v>14.5</v>
      </c>
      <c r="E5" s="14" t="n">
        <v>14</v>
      </c>
      <c r="F5" s="14" t="n">
        <v>13.5</v>
      </c>
    </row>
    <row r="6">
      <c r="A6" s="13" t="inlineStr">
        <is>
          <t>Net Interest Margin (%)</t>
        </is>
      </c>
      <c r="B6" s="14" t="n">
        <v>3.35</v>
      </c>
      <c r="C6" s="14" t="n">
        <v>3.4</v>
      </c>
      <c r="D6" s="14" t="n">
        <v>3.45</v>
      </c>
      <c r="E6" s="14" t="n">
        <v>3.5</v>
      </c>
      <c r="F6" s="14" t="n">
        <v>3.55</v>
      </c>
    </row>
    <row r="7">
      <c r="A7" s="13" t="inlineStr">
        <is>
          <t>Effective Tax Rate (%)</t>
        </is>
      </c>
      <c r="B7" s="14" t="n">
        <v>25</v>
      </c>
      <c r="C7" s="14" t="n">
        <v>25</v>
      </c>
      <c r="D7" s="14" t="n">
        <v>25</v>
      </c>
      <c r="E7" s="14" t="n">
        <v>25</v>
      </c>
      <c r="F7" s="14" t="n">
        <v>25</v>
      </c>
    </row>
    <row r="8">
      <c r="A8" s="13" t="inlineStr">
        <is>
          <t>Return on Assets (%)</t>
        </is>
      </c>
      <c r="B8" s="14" t="n">
        <v>1.92</v>
      </c>
      <c r="C8" s="14" t="n">
        <v>2</v>
      </c>
      <c r="D8" s="14" t="n">
        <v>2.08</v>
      </c>
      <c r="E8" s="14" t="n">
        <v>2.15</v>
      </c>
      <c r="F8" s="14" t="n">
        <v>2.2</v>
      </c>
    </row>
    <row r="9">
      <c r="A9" s="13" t="inlineStr">
        <is>
          <t>Return on Equity (%)</t>
        </is>
      </c>
      <c r="B9" s="14" t="n">
        <v>13.9</v>
      </c>
      <c r="C9" s="14" t="n">
        <v>14.5</v>
      </c>
      <c r="D9" s="14" t="n">
        <v>15</v>
      </c>
      <c r="E9" s="14" t="n">
        <v>15.5</v>
      </c>
      <c r="F9" s="14" t="n">
        <v>16</v>
      </c>
    </row>
    <row r="10">
      <c r="A10" s="13" t="inlineStr">
        <is>
          <t>CASA Ratio (%)</t>
        </is>
      </c>
      <c r="B10" s="14" t="n">
        <v>34</v>
      </c>
      <c r="C10" s="14" t="n">
        <v>35.5</v>
      </c>
      <c r="D10" s="14" t="n">
        <v>37</v>
      </c>
      <c r="E10" s="14" t="n">
        <v>38.5</v>
      </c>
      <c r="F10" s="14" t="n">
        <v>40</v>
      </c>
    </row>
    <row r="11">
      <c r="A11" s="13" t="inlineStr">
        <is>
          <t>Credit Cost (%)</t>
        </is>
      </c>
      <c r="B11" s="14" t="n">
        <v>0.45</v>
      </c>
      <c r="C11" s="14" t="n">
        <v>0.42</v>
      </c>
      <c r="D11" s="14" t="n">
        <v>0.4</v>
      </c>
      <c r="E11" s="14" t="n">
        <v>0.38</v>
      </c>
      <c r="F11" s="14" t="n">
        <v>0.35</v>
      </c>
    </row>
    <row r="12">
      <c r="A12" s="13" t="inlineStr">
        <is>
          <t>Cost-to-Income (%)</t>
        </is>
      </c>
      <c r="B12" s="14" t="n">
        <v>39.2</v>
      </c>
      <c r="C12" s="14" t="n">
        <v>38.5</v>
      </c>
      <c r="D12" s="14" t="n">
        <v>37.8</v>
      </c>
      <c r="E12" s="14" t="n">
        <v>37</v>
      </c>
      <c r="F12" s="14" t="n">
        <v>36.5</v>
      </c>
    </row>
    <row r="15">
      <c r="A15" s="5" t="inlineStr">
        <is>
          <t>RATIONALE</t>
        </is>
      </c>
    </row>
    <row r="16">
      <c r="A16" s="9" t="inlineStr">
        <is>
          <t>HDFC Bank forecast reflects post-merger normalization with gradual CASA ratio recovery from current 34% toward historic 40%+ levels by FY30E. Loan growth normalizing at 12-14% range as integration effects stabilize. NIM expected to expand 15-20 bps over 5 years driven by CASA improvement and liability optimization. Asset quality remains strong with credit costs trending lower from current 45 bps to 35 bps reflecting excellent underwriting. Cost-to-income improving gradually through operating leverage and digital initiatives. ROA expanding from 1.92% to 2.20% and ROE from 13.9% to 16.0% as profitability metrics normalize post-merger. Strong capital base with CAR above regulatory requirements allows sustainable growth without dilution.</t>
        </is>
      </c>
    </row>
  </sheetData>
  <mergeCells count="1">
    <mergeCell ref="A16:F1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0" t="inlineStr">
        <is>
          <t>PROFIT &amp; LOSS STATEMENT</t>
        </is>
      </c>
    </row>
    <row r="2">
      <c r="A2" s="11" t="inlineStr">
        <is>
          <t>(Rs. Crores) | Green cells = Forecast with formulas</t>
        </is>
      </c>
    </row>
    <row r="4">
      <c r="A4" s="12" t="inlineStr">
        <is>
          <t>Line Item</t>
        </is>
      </c>
      <c r="B4" s="12" t="inlineStr">
        <is>
          <t>Mar 2021</t>
        </is>
      </c>
      <c r="C4" s="12" t="inlineStr">
        <is>
          <t>Mar 2022</t>
        </is>
      </c>
      <c r="D4" s="12" t="inlineStr">
        <is>
          <t>Mar 2023</t>
        </is>
      </c>
      <c r="E4" s="12" t="inlineStr">
        <is>
          <t>Mar 2024</t>
        </is>
      </c>
      <c r="F4" s="12" t="inlineStr">
        <is>
          <t>Mar 2025</t>
        </is>
      </c>
      <c r="G4" s="12" t="inlineStr">
        <is>
          <t>FY26E</t>
        </is>
      </c>
      <c r="H4" s="12" t="inlineStr">
        <is>
          <t>FY27E</t>
        </is>
      </c>
      <c r="I4" s="12" t="inlineStr">
        <is>
          <t>FY28E</t>
        </is>
      </c>
      <c r="J4" s="12" t="inlineStr">
        <is>
          <t>FY29E</t>
        </is>
      </c>
      <c r="K4" s="12" t="inlineStr">
        <is>
          <t>FY30E</t>
        </is>
      </c>
    </row>
    <row r="5">
      <c r="A5" s="13" t="inlineStr">
        <is>
          <t>Revenue / Interest Earned</t>
        </is>
      </c>
      <c r="B5" s="15" t="n">
        <v>122189</v>
      </c>
      <c r="C5" s="15" t="n">
        <v>128552</v>
      </c>
      <c r="D5" s="15" t="n">
        <v>135936</v>
      </c>
      <c r="E5" s="15" t="n">
        <v>170754</v>
      </c>
      <c r="F5" s="15" t="n">
        <v>283649</v>
      </c>
      <c r="G5" s="16">
        <f>F5*1.12</f>
        <v/>
      </c>
      <c r="H5" s="16">
        <f>G5*1.12</f>
        <v/>
      </c>
      <c r="I5" s="16">
        <f>H5*1.12</f>
        <v/>
      </c>
      <c r="J5" s="16">
        <f>I5*1.12</f>
        <v/>
      </c>
      <c r="K5" s="16">
        <f>J5*1.12</f>
        <v/>
      </c>
    </row>
    <row r="6">
      <c r="A6" s="13" t="inlineStr">
        <is>
          <t>Interest</t>
        </is>
      </c>
      <c r="B6" s="15" t="n">
        <v>62137</v>
      </c>
      <c r="C6" s="15" t="n">
        <v>59248</v>
      </c>
      <c r="D6" s="15" t="n">
        <v>58584</v>
      </c>
      <c r="E6" s="15" t="n">
        <v>77780</v>
      </c>
      <c r="F6" s="15" t="n">
        <v>154139</v>
      </c>
      <c r="G6" s="16">
        <f>F6*1.10</f>
        <v/>
      </c>
      <c r="H6" s="16">
        <f>G6*1.10</f>
        <v/>
      </c>
      <c r="I6" s="16">
        <f>H6*1.10</f>
        <v/>
      </c>
      <c r="J6" s="16">
        <f>I6*1.10</f>
        <v/>
      </c>
      <c r="K6" s="16">
        <f>J6*1.10</f>
        <v/>
      </c>
    </row>
    <row r="7">
      <c r="A7" s="13" t="inlineStr">
        <is>
          <t>Other Income</t>
        </is>
      </c>
      <c r="B7" s="15" t="n">
        <v>24879</v>
      </c>
      <c r="C7" s="15" t="n">
        <v>27333</v>
      </c>
      <c r="D7" s="15" t="n">
        <v>31759</v>
      </c>
      <c r="E7" s="15" t="n">
        <v>33912</v>
      </c>
      <c r="F7" s="15" t="n">
        <v>124346</v>
      </c>
      <c r="G7" s="16">
        <f>F7*1.08</f>
        <v/>
      </c>
      <c r="H7" s="16">
        <f>G7*1.08</f>
        <v/>
      </c>
      <c r="I7" s="16">
        <f>H7*1.08</f>
        <v/>
      </c>
      <c r="J7" s="16">
        <f>I7*1.08</f>
        <v/>
      </c>
      <c r="K7" s="16">
        <f>J7*1.08</f>
        <v/>
      </c>
    </row>
    <row r="8">
      <c r="A8" s="17" t="inlineStr">
        <is>
          <t>Total Income</t>
        </is>
      </c>
      <c r="B8" s="18">
        <f>B5+B6+B7</f>
        <v/>
      </c>
      <c r="C8" s="18">
        <f>C5+C6+C7</f>
        <v/>
      </c>
      <c r="D8" s="18">
        <f>D5+D6+D7</f>
        <v/>
      </c>
      <c r="E8" s="18">
        <f>E5+E6+E7</f>
        <v/>
      </c>
      <c r="F8" s="18">
        <f>F5+F6+F7</f>
        <v/>
      </c>
      <c r="G8" s="19">
        <f>G5+G6+G7</f>
        <v/>
      </c>
      <c r="H8" s="19">
        <f>H5+H6+H7</f>
        <v/>
      </c>
      <c r="I8" s="19">
        <f>I5+I6+I7</f>
        <v/>
      </c>
      <c r="J8" s="19">
        <f>J5+J6+J7</f>
        <v/>
      </c>
      <c r="K8" s="19">
        <f>K5+K6+K7</f>
        <v/>
      </c>
    </row>
    <row r="10">
      <c r="A10" s="13" t="inlineStr">
        <is>
          <t>Operating Expenses</t>
        </is>
      </c>
      <c r="B10" s="15" t="n">
        <v>45459</v>
      </c>
      <c r="C10" s="15" t="n">
        <v>52457</v>
      </c>
      <c r="D10" s="15" t="n">
        <v>56557</v>
      </c>
      <c r="E10" s="15" t="n">
        <v>63042</v>
      </c>
      <c r="F10" s="15" t="n">
        <v>174196</v>
      </c>
      <c r="G10" s="16">
        <f>F10*1.10</f>
        <v/>
      </c>
      <c r="H10" s="16">
        <f>G10*1.10</f>
        <v/>
      </c>
      <c r="I10" s="16">
        <f>H10*1.10</f>
        <v/>
      </c>
      <c r="J10" s="16">
        <f>I10*1.10</f>
        <v/>
      </c>
      <c r="K10" s="16">
        <f>J10*1.10</f>
        <v/>
      </c>
    </row>
    <row r="11">
      <c r="A11" s="13" t="inlineStr">
        <is>
          <t>Interest Expended</t>
        </is>
      </c>
      <c r="B11" s="20" t="n"/>
      <c r="C11" s="20" t="n"/>
      <c r="D11" s="20" t="n"/>
      <c r="E11" s="20" t="n"/>
      <c r="F11" s="20" t="n"/>
      <c r="G11" s="16">
        <f>F11*1.08</f>
        <v/>
      </c>
      <c r="H11" s="16">
        <f>G11*1.08</f>
        <v/>
      </c>
      <c r="I11" s="16">
        <f>H11*1.08</f>
        <v/>
      </c>
      <c r="J11" s="16">
        <f>I11*1.08</f>
        <v/>
      </c>
      <c r="K11" s="16">
        <f>J11*1.08</f>
        <v/>
      </c>
    </row>
    <row r="12">
      <c r="A12" s="13" t="inlineStr">
        <is>
          <t>Depreciation</t>
        </is>
      </c>
      <c r="B12" s="15" t="n">
        <v>1277</v>
      </c>
      <c r="C12" s="15" t="n">
        <v>1385</v>
      </c>
      <c r="D12" s="15" t="n">
        <v>1681</v>
      </c>
      <c r="E12" s="15" t="n">
        <v>2345</v>
      </c>
      <c r="F12" s="15" t="n">
        <v>3092</v>
      </c>
      <c r="G12" s="16">
        <f>F12*1.05</f>
        <v/>
      </c>
      <c r="H12" s="16">
        <f>G12*1.05</f>
        <v/>
      </c>
      <c r="I12" s="16">
        <f>H12*1.05</f>
        <v/>
      </c>
      <c r="J12" s="16">
        <f>I12*1.05</f>
        <v/>
      </c>
      <c r="K12" s="16">
        <f>J12*1.05</f>
        <v/>
      </c>
    </row>
    <row r="13">
      <c r="A13" s="13" t="inlineStr">
        <is>
          <t>Provisions</t>
        </is>
      </c>
      <c r="B13" s="20" t="n"/>
      <c r="C13" s="20" t="n"/>
      <c r="D13" s="20" t="n"/>
      <c r="E13" s="20" t="n"/>
      <c r="F13" s="20" t="n"/>
      <c r="G13" s="16">
        <f>F13*1.05</f>
        <v/>
      </c>
      <c r="H13" s="16">
        <f>G13*1.05</f>
        <v/>
      </c>
      <c r="I13" s="16">
        <f>H13*1.05</f>
        <v/>
      </c>
      <c r="J13" s="16">
        <f>I13*1.05</f>
        <v/>
      </c>
      <c r="K13" s="16">
        <f>J13*1.05</f>
        <v/>
      </c>
    </row>
    <row r="14">
      <c r="A14" s="17" t="inlineStr">
        <is>
          <t>Total Expenses</t>
        </is>
      </c>
      <c r="B14" s="18">
        <f>B10+B11+B12+B13</f>
        <v/>
      </c>
      <c r="C14" s="18">
        <f>C10+C11+C12+C13</f>
        <v/>
      </c>
      <c r="D14" s="18">
        <f>D10+D11+D12+D13</f>
        <v/>
      </c>
      <c r="E14" s="18">
        <f>E10+E11+E12+E13</f>
        <v/>
      </c>
      <c r="F14" s="18">
        <f>F10+F11+F12+F13</f>
        <v/>
      </c>
      <c r="G14" s="19">
        <f>G10+G11+G12+G13</f>
        <v/>
      </c>
      <c r="H14" s="19">
        <f>H10+H11+H12+H13</f>
        <v/>
      </c>
      <c r="I14" s="19">
        <f>I10+I11+I12+I13</f>
        <v/>
      </c>
      <c r="J14" s="19">
        <f>J10+J11+J12+J13</f>
        <v/>
      </c>
      <c r="K14" s="19">
        <f>K10+K11+K12+K13</f>
        <v/>
      </c>
    </row>
    <row r="16">
      <c r="A16" s="17" t="inlineStr">
        <is>
          <t>Profit Before Tax</t>
        </is>
      </c>
      <c r="B16" s="15" t="n">
        <v>38195</v>
      </c>
      <c r="C16" s="15" t="n">
        <v>42796</v>
      </c>
      <c r="D16" s="15" t="n">
        <v>50873</v>
      </c>
      <c r="E16" s="15" t="n">
        <v>61498</v>
      </c>
      <c r="F16" s="15" t="n">
        <v>76569</v>
      </c>
      <c r="G16" s="19">
        <f>G8-G14</f>
        <v/>
      </c>
      <c r="H16" s="19">
        <f>H8-H14</f>
        <v/>
      </c>
      <c r="I16" s="19">
        <f>I8-I14</f>
        <v/>
      </c>
      <c r="J16" s="19">
        <f>J8-J14</f>
        <v/>
      </c>
      <c r="K16" s="19">
        <f>K8-K14</f>
        <v/>
      </c>
    </row>
    <row r="17">
      <c r="A17" s="13" t="inlineStr">
        <is>
          <t>Tax</t>
        </is>
      </c>
      <c r="B17" s="15" t="n">
        <v>29</v>
      </c>
      <c r="C17" s="15" t="n">
        <v>26</v>
      </c>
      <c r="D17" s="15" t="n">
        <v>25</v>
      </c>
      <c r="E17" s="15" t="n">
        <v>25</v>
      </c>
      <c r="F17" s="15" t="n">
        <v>15</v>
      </c>
      <c r="G17" s="16">
        <f>G16*Assumptions!$B$7/100</f>
        <v/>
      </c>
      <c r="H17" s="16">
        <f>H16*Assumptions!$C$7/100</f>
        <v/>
      </c>
      <c r="I17" s="16">
        <f>I16*Assumptions!$D$7/100</f>
        <v/>
      </c>
      <c r="J17" s="16">
        <f>J16*Assumptions!$E$7/100</f>
        <v/>
      </c>
      <c r="K17" s="16">
        <f>K16*Assumptions!$F$7/100</f>
        <v/>
      </c>
    </row>
    <row r="18">
      <c r="A18" s="17" t="inlineStr">
        <is>
          <t>Net Profit</t>
        </is>
      </c>
      <c r="B18" s="15" t="n">
        <v>27296</v>
      </c>
      <c r="C18" s="15" t="n">
        <v>31857</v>
      </c>
      <c r="D18" s="15" t="n">
        <v>38151</v>
      </c>
      <c r="E18" s="15" t="n">
        <v>46149</v>
      </c>
      <c r="F18" s="15" t="n">
        <v>65446</v>
      </c>
      <c r="G18" s="19">
        <f>G16-G17</f>
        <v/>
      </c>
      <c r="H18" s="19">
        <f>H16-H17</f>
        <v/>
      </c>
      <c r="I18" s="19">
        <f>I16-I17</f>
        <v/>
      </c>
      <c r="J18" s="19">
        <f>J16-J17</f>
        <v/>
      </c>
      <c r="K18" s="19">
        <f>K16-K17</f>
        <v/>
      </c>
    </row>
    <row r="19">
      <c r="A19" s="13" t="inlineStr">
        <is>
          <t>EPS (Rs.)</t>
        </is>
      </c>
      <c r="B19" s="15" t="n">
        <v>24.85</v>
      </c>
      <c r="C19" s="15" t="n">
        <v>28.87</v>
      </c>
      <c r="D19" s="15" t="n">
        <v>34.31</v>
      </c>
      <c r="E19" s="15" t="n">
        <v>41.22</v>
      </c>
      <c r="F19" s="15" t="n">
        <v>42.16</v>
      </c>
      <c r="G19" s="16">
        <f>F19*1.10</f>
        <v/>
      </c>
      <c r="H19" s="16">
        <f>G19*1.10</f>
        <v/>
      </c>
      <c r="I19" s="16">
        <f>H19*1.10</f>
        <v/>
      </c>
      <c r="J19" s="16">
        <f>I19*1.10</f>
        <v/>
      </c>
      <c r="K19" s="16">
        <f>J19*1.10</f>
        <v/>
      </c>
    </row>
    <row r="21">
      <c r="A21" s="21" t="inlineStr">
        <is>
          <t>Net Profit Growth (%)</t>
        </is>
      </c>
      <c r="C21" s="22">
        <f>IF(B18=0,0,(C18/B18-1)*100)</f>
        <v/>
      </c>
      <c r="D21" s="22">
        <f>IF(C18=0,0,(D18/C18-1)*100)</f>
        <v/>
      </c>
      <c r="E21" s="22">
        <f>IF(D18=0,0,(E18/D18-1)*100)</f>
        <v/>
      </c>
      <c r="F21" s="22">
        <f>IF(E18=0,0,(F18/E18-1)*100)</f>
        <v/>
      </c>
      <c r="G21" s="23">
        <f>IF(F18=0,0,(G18/F18-1)*100)</f>
        <v/>
      </c>
      <c r="H21" s="23">
        <f>IF(G18=0,0,(H18/G18-1)*100)</f>
        <v/>
      </c>
      <c r="I21" s="23">
        <f>IF(H18=0,0,(I18/H18-1)*100)</f>
        <v/>
      </c>
      <c r="J21" s="23">
        <f>IF(I18=0,0,(J18/I18-1)*100)</f>
        <v/>
      </c>
      <c r="K21" s="23">
        <f>IF(J18=0,0,(K18/J18-1)*100)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0" t="inlineStr">
        <is>
          <t>BALANCE SHEET</t>
        </is>
      </c>
    </row>
    <row r="2">
      <c r="A2" s="11" t="inlineStr">
        <is>
          <t>(Rs. Crores) | Green cells = Forecast</t>
        </is>
      </c>
    </row>
    <row r="4">
      <c r="A4" s="12" t="inlineStr">
        <is>
          <t>Line Item</t>
        </is>
      </c>
      <c r="B4" s="12" t="inlineStr">
        <is>
          <t>Mar 2021</t>
        </is>
      </c>
      <c r="C4" s="12" t="inlineStr">
        <is>
          <t>Mar 2022</t>
        </is>
      </c>
      <c r="D4" s="12" t="inlineStr">
        <is>
          <t>Mar 2023</t>
        </is>
      </c>
      <c r="E4" s="12" t="inlineStr">
        <is>
          <t>Mar 2024</t>
        </is>
      </c>
      <c r="F4" s="12" t="inlineStr">
        <is>
          <t>Mar 2025</t>
        </is>
      </c>
      <c r="G4" s="12" t="inlineStr">
        <is>
          <t>FY26E</t>
        </is>
      </c>
      <c r="H4" s="12" t="inlineStr">
        <is>
          <t>FY27E</t>
        </is>
      </c>
      <c r="I4" s="12" t="inlineStr">
        <is>
          <t>FY28E</t>
        </is>
      </c>
      <c r="J4" s="12" t="inlineStr">
        <is>
          <t>FY29E</t>
        </is>
      </c>
      <c r="K4" s="12" t="inlineStr">
        <is>
          <t>FY30E</t>
        </is>
      </c>
    </row>
    <row r="5">
      <c r="A5" s="17" t="inlineStr">
        <is>
          <t>LIABILITIES</t>
        </is>
      </c>
      <c r="G5" s="24" t="n"/>
      <c r="H5" s="24" t="n"/>
      <c r="I5" s="24" t="n"/>
      <c r="J5" s="24" t="n"/>
      <c r="K5" s="24" t="n"/>
    </row>
    <row r="6">
      <c r="A6" s="13" t="inlineStr">
        <is>
          <t>Equity Capital</t>
        </is>
      </c>
      <c r="B6" s="15" t="n">
        <v>548</v>
      </c>
      <c r="C6" s="15" t="n">
        <v>551</v>
      </c>
      <c r="D6" s="15" t="n">
        <v>555</v>
      </c>
      <c r="E6" s="15" t="n">
        <v>558</v>
      </c>
      <c r="F6" s="15" t="n">
        <v>760</v>
      </c>
      <c r="G6" s="16">
        <f>F6</f>
        <v/>
      </c>
      <c r="H6" s="16">
        <f>G6</f>
        <v/>
      </c>
      <c r="I6" s="16">
        <f>H6</f>
        <v/>
      </c>
      <c r="J6" s="16">
        <f>I6</f>
        <v/>
      </c>
      <c r="K6" s="16">
        <f>J6</f>
        <v/>
      </c>
    </row>
    <row r="7">
      <c r="A7" s="13" t="inlineStr">
        <is>
          <t>Reserves</t>
        </is>
      </c>
      <c r="B7" s="15" t="n">
        <v>175810</v>
      </c>
      <c r="C7" s="15" t="n">
        <v>209259</v>
      </c>
      <c r="D7" s="15" t="n">
        <v>246772</v>
      </c>
      <c r="E7" s="15" t="n">
        <v>288880</v>
      </c>
      <c r="F7" s="15" t="n">
        <v>455636</v>
      </c>
      <c r="G7" s="16">
        <f>F7+'P&amp;L'!G18*0.70</f>
        <v/>
      </c>
      <c r="H7" s="16">
        <f>G7+'P&amp;L'!H18*0.70</f>
        <v/>
      </c>
      <c r="I7" s="16">
        <f>H7+'P&amp;L'!I18*0.70</f>
        <v/>
      </c>
      <c r="J7" s="16">
        <f>I7+'P&amp;L'!J18*0.70</f>
        <v/>
      </c>
      <c r="K7" s="16">
        <f>J7+'P&amp;L'!K18*0.70</f>
        <v/>
      </c>
    </row>
    <row r="8">
      <c r="A8" s="17" t="inlineStr">
        <is>
          <t>Total Equity</t>
        </is>
      </c>
      <c r="B8" s="18">
        <f>B6+B7</f>
        <v/>
      </c>
      <c r="C8" s="18">
        <f>C6+C7</f>
        <v/>
      </c>
      <c r="D8" s="18">
        <f>D6+D7</f>
        <v/>
      </c>
      <c r="E8" s="18">
        <f>E6+E7</f>
        <v/>
      </c>
      <c r="F8" s="18">
        <f>F6+F7</f>
        <v/>
      </c>
      <c r="G8" s="19">
        <f>G6+G7</f>
        <v/>
      </c>
      <c r="H8" s="19">
        <f>H6+H7</f>
        <v/>
      </c>
      <c r="I8" s="19">
        <f>I6+I7</f>
        <v/>
      </c>
      <c r="J8" s="19">
        <f>J6+J7</f>
        <v/>
      </c>
      <c r="K8" s="19">
        <f>K6+K7</f>
        <v/>
      </c>
    </row>
    <row r="10">
      <c r="A10" s="13" t="inlineStr">
        <is>
          <t>Deposits</t>
        </is>
      </c>
      <c r="B10" s="15" t="n">
        <v>1146207</v>
      </c>
      <c r="C10" s="15" t="n">
        <v>1333721</v>
      </c>
      <c r="D10" s="15" t="n">
        <v>1558003</v>
      </c>
      <c r="E10" s="15" t="n">
        <v>1882663</v>
      </c>
      <c r="F10" s="15" t="n">
        <v>2376887</v>
      </c>
      <c r="G10" s="16">
        <f>F10*1.12</f>
        <v/>
      </c>
      <c r="H10" s="16">
        <f>G10*1.12</f>
        <v/>
      </c>
      <c r="I10" s="16">
        <f>H10*1.12</f>
        <v/>
      </c>
      <c r="J10" s="16">
        <f>I10*1.12</f>
        <v/>
      </c>
      <c r="K10" s="16">
        <f>J10*1.12</f>
        <v/>
      </c>
    </row>
    <row r="11">
      <c r="A11" s="13" t="inlineStr">
        <is>
          <t>Borrowings</t>
        </is>
      </c>
      <c r="B11" s="15" t="n">
        <v>186834</v>
      </c>
      <c r="C11" s="15" t="n">
        <v>177697</v>
      </c>
      <c r="D11" s="15" t="n">
        <v>226966</v>
      </c>
      <c r="E11" s="15" t="n">
        <v>256549</v>
      </c>
      <c r="F11" s="15" t="n">
        <v>730615</v>
      </c>
      <c r="G11" s="16">
        <f>F11*1.08</f>
        <v/>
      </c>
      <c r="H11" s="16">
        <f>G11*1.08</f>
        <v/>
      </c>
      <c r="I11" s="16">
        <f>H11*1.08</f>
        <v/>
      </c>
      <c r="J11" s="16">
        <f>I11*1.08</f>
        <v/>
      </c>
      <c r="K11" s="16">
        <f>J11*1.08</f>
        <v/>
      </c>
    </row>
    <row r="12">
      <c r="A12" s="13" t="inlineStr">
        <is>
          <t>Other Liabilities</t>
        </is>
      </c>
      <c r="B12" s="15" t="n">
        <v>71430</v>
      </c>
      <c r="C12" s="15" t="n">
        <v>78279</v>
      </c>
      <c r="D12" s="15" t="n">
        <v>90639</v>
      </c>
      <c r="E12" s="15" t="n">
        <v>101783</v>
      </c>
      <c r="F12" s="15" t="n">
        <v>466296</v>
      </c>
      <c r="G12" s="16">
        <f>F12*1.10</f>
        <v/>
      </c>
      <c r="H12" s="16">
        <f>G12*1.10</f>
        <v/>
      </c>
      <c r="I12" s="16">
        <f>H12*1.10</f>
        <v/>
      </c>
      <c r="J12" s="16">
        <f>I12*1.10</f>
        <v/>
      </c>
      <c r="K12" s="16">
        <f>J12*1.10</f>
        <v/>
      </c>
    </row>
    <row r="13">
      <c r="A13" s="17" t="inlineStr">
        <is>
          <t>Total Liabilities</t>
        </is>
      </c>
      <c r="B13" s="15" t="n">
        <v>1580830</v>
      </c>
      <c r="C13" s="15" t="n">
        <v>1799507</v>
      </c>
      <c r="D13" s="15" t="n">
        <v>2122934</v>
      </c>
      <c r="E13" s="15" t="n">
        <v>2530432</v>
      </c>
      <c r="F13" s="15" t="n">
        <v>4030194</v>
      </c>
      <c r="G13" s="19">
        <f>G8+G10+G11+G12</f>
        <v/>
      </c>
      <c r="H13" s="19">
        <f>H8+H10+H11+H12</f>
        <v/>
      </c>
      <c r="I13" s="19">
        <f>I8+I10+I11+I12</f>
        <v/>
      </c>
      <c r="J13" s="19">
        <f>J8+J10+J11+J12</f>
        <v/>
      </c>
      <c r="K13" s="19">
        <f>K8+K10+K11+K12</f>
        <v/>
      </c>
    </row>
    <row r="15">
      <c r="A15" s="17" t="inlineStr">
        <is>
          <t>ASSETS</t>
        </is>
      </c>
      <c r="G15" s="24" t="n"/>
      <c r="H15" s="24" t="n"/>
      <c r="I15" s="24" t="n"/>
      <c r="J15" s="24" t="n"/>
      <c r="K15" s="24" t="n"/>
    </row>
    <row r="16">
      <c r="A16" s="13" t="inlineStr">
        <is>
          <t>Fixed Assets</t>
        </is>
      </c>
      <c r="B16" s="15" t="n">
        <v>4776</v>
      </c>
      <c r="C16" s="15" t="n">
        <v>5248</v>
      </c>
      <c r="D16" s="15" t="n">
        <v>6432</v>
      </c>
      <c r="E16" s="15" t="n">
        <v>8431</v>
      </c>
      <c r="F16" s="15" t="n">
        <v>12604</v>
      </c>
      <c r="G16" s="16">
        <f>F16*1.05</f>
        <v/>
      </c>
      <c r="H16" s="16">
        <f>G16*1.05</f>
        <v/>
      </c>
      <c r="I16" s="16">
        <f>H16*1.05</f>
        <v/>
      </c>
      <c r="J16" s="16">
        <f>I16*1.05</f>
        <v/>
      </c>
      <c r="K16" s="16">
        <f>J16*1.05</f>
        <v/>
      </c>
    </row>
    <row r="17">
      <c r="A17" s="13" t="inlineStr">
        <is>
          <t>CWIP</t>
        </is>
      </c>
      <c r="B17" s="15" t="n">
        <v>0</v>
      </c>
      <c r="C17" s="15" t="n">
        <v>0</v>
      </c>
      <c r="D17" s="15" t="n">
        <v>0</v>
      </c>
      <c r="E17" s="15" t="n">
        <v>0</v>
      </c>
      <c r="F17" s="15" t="n">
        <v>0</v>
      </c>
      <c r="G17" s="16">
        <f>F17*1.02</f>
        <v/>
      </c>
      <c r="H17" s="16">
        <f>G17*1.02</f>
        <v/>
      </c>
      <c r="I17" s="16">
        <f>H17*1.02</f>
        <v/>
      </c>
      <c r="J17" s="16">
        <f>I17*1.02</f>
        <v/>
      </c>
      <c r="K17" s="16">
        <f>J17*1.02</f>
        <v/>
      </c>
    </row>
    <row r="18">
      <c r="A18" s="13" t="inlineStr">
        <is>
          <t>Investments</t>
        </is>
      </c>
      <c r="B18" s="15" t="n">
        <v>389305</v>
      </c>
      <c r="C18" s="15" t="n">
        <v>438823</v>
      </c>
      <c r="D18" s="15" t="n">
        <v>449264</v>
      </c>
      <c r="E18" s="15" t="n">
        <v>511582</v>
      </c>
      <c r="F18" s="15" t="n">
        <v>1005682</v>
      </c>
      <c r="G18" s="16">
        <f>F18*1.10</f>
        <v/>
      </c>
      <c r="H18" s="16">
        <f>G18*1.10</f>
        <v/>
      </c>
      <c r="I18" s="16">
        <f>H18*1.10</f>
        <v/>
      </c>
      <c r="J18" s="16">
        <f>I18*1.10</f>
        <v/>
      </c>
      <c r="K18" s="16">
        <f>J18*1.10</f>
        <v/>
      </c>
    </row>
    <row r="19">
      <c r="A19" s="13" t="inlineStr">
        <is>
          <t>Advances</t>
        </is>
      </c>
      <c r="B19" s="20" t="n"/>
      <c r="C19" s="20" t="n"/>
      <c r="D19" s="20" t="n"/>
      <c r="E19" s="20" t="n"/>
      <c r="F19" s="20" t="n"/>
      <c r="G19" s="16">
        <f>F19*(1+Assumptions!$B$5/100)</f>
        <v/>
      </c>
      <c r="H19" s="16">
        <f>G19*(1+Assumptions!$C$5/100)</f>
        <v/>
      </c>
      <c r="I19" s="16">
        <f>H19*(1+Assumptions!$D$5/100)</f>
        <v/>
      </c>
      <c r="J19" s="16">
        <f>I19*(1+Assumptions!$E$5/100)</f>
        <v/>
      </c>
      <c r="K19" s="16">
        <f>J19*(1+Assumptions!$F$5/100)</f>
        <v/>
      </c>
    </row>
    <row r="20">
      <c r="A20" s="13" t="inlineStr">
        <is>
          <t>Other Assets</t>
        </is>
      </c>
      <c r="B20" s="15" t="n">
        <v>1186750</v>
      </c>
      <c r="C20" s="15" t="n">
        <v>1355435</v>
      </c>
      <c r="D20" s="15" t="n">
        <v>1667238</v>
      </c>
      <c r="E20" s="15" t="n">
        <v>2010419</v>
      </c>
      <c r="F20" s="15" t="n">
        <v>3011909</v>
      </c>
      <c r="G20" s="16">
        <f>F20*1.08</f>
        <v/>
      </c>
      <c r="H20" s="16">
        <f>G20*1.08</f>
        <v/>
      </c>
      <c r="I20" s="16">
        <f>H20*1.08</f>
        <v/>
      </c>
      <c r="J20" s="16">
        <f>I20*1.08</f>
        <v/>
      </c>
      <c r="K20" s="16">
        <f>J20*1.08</f>
        <v/>
      </c>
    </row>
    <row r="21">
      <c r="A21" s="17" t="inlineStr">
        <is>
          <t>Total Assets</t>
        </is>
      </c>
      <c r="B21" s="15" t="n">
        <v>1580830</v>
      </c>
      <c r="C21" s="15" t="n">
        <v>1799507</v>
      </c>
      <c r="D21" s="15" t="n">
        <v>2122934</v>
      </c>
      <c r="E21" s="15" t="n">
        <v>2530432</v>
      </c>
      <c r="F21" s="15" t="n">
        <v>4030194</v>
      </c>
      <c r="G21" s="19">
        <f>G13</f>
        <v/>
      </c>
      <c r="H21" s="19">
        <f>H13</f>
        <v/>
      </c>
      <c r="I21" s="19">
        <f>I13</f>
        <v/>
      </c>
      <c r="J21" s="19">
        <f>J13</f>
        <v/>
      </c>
      <c r="K21" s="19">
        <f>K13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0" t="inlineStr">
        <is>
          <t>ROE DECOMPOSITION (DUPONT ANALYSIS)</t>
        </is>
      </c>
    </row>
    <row r="2">
      <c r="A2" s="11" t="inlineStr">
        <is>
          <t>ROE = Net Profit Margin x Asset Turnover x Equity Multiplier</t>
        </is>
      </c>
    </row>
    <row r="4">
      <c r="A4" s="12" t="inlineStr">
        <is>
          <t>Metric</t>
        </is>
      </c>
      <c r="B4" s="12" t="inlineStr">
        <is>
          <t>Mar 2021</t>
        </is>
      </c>
      <c r="C4" s="12" t="inlineStr">
        <is>
          <t>Mar 2022</t>
        </is>
      </c>
      <c r="D4" s="12" t="inlineStr">
        <is>
          <t>Mar 2023</t>
        </is>
      </c>
      <c r="E4" s="12" t="inlineStr">
        <is>
          <t>Mar 2024</t>
        </is>
      </c>
      <c r="F4" s="12" t="inlineStr">
        <is>
          <t>Mar 2025</t>
        </is>
      </c>
      <c r="G4" s="12" t="inlineStr">
        <is>
          <t>FY26E</t>
        </is>
      </c>
      <c r="H4" s="12" t="inlineStr">
        <is>
          <t>FY27E</t>
        </is>
      </c>
      <c r="I4" s="12" t="inlineStr">
        <is>
          <t>FY28E</t>
        </is>
      </c>
      <c r="J4" s="12" t="inlineStr">
        <is>
          <t>FY29E</t>
        </is>
      </c>
      <c r="K4" s="12" t="inlineStr">
        <is>
          <t>FY30E</t>
        </is>
      </c>
    </row>
    <row r="5">
      <c r="A5" s="25" t="inlineStr"/>
      <c r="B5" s="26" t="n"/>
      <c r="C5" s="26" t="n"/>
      <c r="D5" s="26" t="n"/>
      <c r="E5" s="26" t="n"/>
      <c r="F5" s="26" t="n"/>
      <c r="G5" s="26" t="n"/>
      <c r="H5" s="26" t="n"/>
      <c r="I5" s="26" t="n"/>
      <c r="J5" s="26" t="n"/>
      <c r="K5" s="26" t="n"/>
    </row>
    <row r="6">
      <c r="A6" s="25" t="inlineStr">
        <is>
          <t>PROFITABILITY</t>
        </is>
      </c>
      <c r="B6" s="26" t="n"/>
      <c r="C6" s="26" t="n"/>
      <c r="D6" s="26" t="n"/>
      <c r="E6" s="26" t="n"/>
      <c r="F6" s="26" t="n"/>
      <c r="G6" s="26" t="n"/>
      <c r="H6" s="26" t="n"/>
      <c r="I6" s="26" t="n"/>
      <c r="J6" s="26" t="n"/>
      <c r="K6" s="26" t="n"/>
    </row>
    <row r="7">
      <c r="A7" s="13" t="inlineStr">
        <is>
          <t>Net Profit (PAT)</t>
        </is>
      </c>
      <c r="B7" s="24" t="n"/>
      <c r="C7" s="24" t="n"/>
      <c r="D7" s="24" t="n"/>
      <c r="E7" s="24" t="n"/>
      <c r="F7" s="24" t="n"/>
      <c r="G7" s="27" t="n"/>
      <c r="H7" s="27" t="n"/>
      <c r="I7" s="27" t="n"/>
      <c r="J7" s="27" t="n"/>
      <c r="K7" s="27" t="n"/>
    </row>
    <row r="8">
      <c r="A8" s="13" t="inlineStr">
        <is>
          <t>Revenue</t>
        </is>
      </c>
      <c r="B8" s="24" t="n"/>
      <c r="C8" s="24" t="n"/>
      <c r="D8" s="24" t="n"/>
      <c r="E8" s="24" t="n"/>
      <c r="F8" s="24" t="n"/>
      <c r="G8" s="27" t="n"/>
      <c r="H8" s="27" t="n"/>
      <c r="I8" s="27" t="n"/>
      <c r="J8" s="27" t="n"/>
      <c r="K8" s="27" t="n"/>
    </row>
    <row r="9">
      <c r="A9" s="13" t="inlineStr">
        <is>
          <t>Net Profit Margin (%)</t>
        </is>
      </c>
      <c r="B9" s="28">
        <f>IF(B8=0,0,B7/B8*100)</f>
        <v/>
      </c>
      <c r="C9" s="28">
        <f>IF(C8=0,0,C7/C8*100)</f>
        <v/>
      </c>
      <c r="D9" s="28">
        <f>IF(D8=0,0,D7/D8*100)</f>
        <v/>
      </c>
      <c r="E9" s="28">
        <f>IF(E8=0,0,E7/E8*100)</f>
        <v/>
      </c>
      <c r="F9" s="28">
        <f>IF(F8=0,0,F7/F8*100)</f>
        <v/>
      </c>
      <c r="G9" s="29">
        <f>IF(G8=0,0,G7/G8*100)</f>
        <v/>
      </c>
      <c r="H9" s="29">
        <f>IF(H8=0,0,H7/H8*100)</f>
        <v/>
      </c>
      <c r="I9" s="29">
        <f>IF(I8=0,0,I7/I8*100)</f>
        <v/>
      </c>
      <c r="J9" s="29">
        <f>IF(J8=0,0,J7/J8*100)</f>
        <v/>
      </c>
      <c r="K9" s="29">
        <f>IF(K8=0,0,K7/K8*100)</f>
        <v/>
      </c>
    </row>
    <row r="11">
      <c r="A11" s="25" t="inlineStr">
        <is>
          <t>EFFICIENCY</t>
        </is>
      </c>
      <c r="B11" s="26" t="n"/>
      <c r="C11" s="26" t="n"/>
      <c r="D11" s="26" t="n"/>
      <c r="E11" s="26" t="n"/>
      <c r="F11" s="26" t="n"/>
      <c r="G11" s="26" t="n"/>
      <c r="H11" s="26" t="n"/>
      <c r="I11" s="26" t="n"/>
      <c r="J11" s="26" t="n"/>
      <c r="K11" s="26" t="n"/>
    </row>
    <row r="12">
      <c r="A12" s="13" t="inlineStr">
        <is>
          <t>Revenue</t>
        </is>
      </c>
      <c r="B12" s="24" t="n"/>
      <c r="C12" s="24" t="n"/>
      <c r="D12" s="24" t="n"/>
      <c r="E12" s="24" t="n"/>
      <c r="F12" s="24" t="n"/>
      <c r="G12" s="27" t="n"/>
      <c r="H12" s="27" t="n"/>
      <c r="I12" s="27" t="n"/>
      <c r="J12" s="27" t="n"/>
      <c r="K12" s="27" t="n"/>
    </row>
    <row r="13">
      <c r="A13" s="13" t="inlineStr">
        <is>
          <t>Average Total Assets</t>
        </is>
      </c>
      <c r="B13" s="24">
        <f>'Balance Sheet'!B21</f>
        <v/>
      </c>
      <c r="C13" s="24">
        <f>('Balance Sheet'!C21+'Balance Sheet'!B21)/2</f>
        <v/>
      </c>
      <c r="D13" s="24">
        <f>('Balance Sheet'!D21+'Balance Sheet'!C21)/2</f>
        <v/>
      </c>
      <c r="E13" s="24">
        <f>('Balance Sheet'!E21+'Balance Sheet'!D21)/2</f>
        <v/>
      </c>
      <c r="F13" s="24">
        <f>('Balance Sheet'!F21+'Balance Sheet'!E21)/2</f>
        <v/>
      </c>
      <c r="G13" s="27">
        <f>('Balance Sheet'!G21+'Balance Sheet'!F21)/2</f>
        <v/>
      </c>
      <c r="H13" s="27">
        <f>('Balance Sheet'!H21+'Balance Sheet'!G21)/2</f>
        <v/>
      </c>
      <c r="I13" s="27">
        <f>('Balance Sheet'!I21+'Balance Sheet'!H21)/2</f>
        <v/>
      </c>
      <c r="J13" s="27">
        <f>('Balance Sheet'!J21+'Balance Sheet'!I21)/2</f>
        <v/>
      </c>
      <c r="K13" s="27">
        <f>('Balance Sheet'!K21+'Balance Sheet'!J21)/2</f>
        <v/>
      </c>
    </row>
    <row r="14">
      <c r="A14" s="13" t="inlineStr">
        <is>
          <t>Asset Turnover (x)</t>
        </is>
      </c>
      <c r="B14" s="28">
        <f>IF(B13=0,0,B12/B13)</f>
        <v/>
      </c>
      <c r="C14" s="28">
        <f>IF(C13=0,0,C12/C13)</f>
        <v/>
      </c>
      <c r="D14" s="28">
        <f>IF(D13=0,0,D12/D13)</f>
        <v/>
      </c>
      <c r="E14" s="28">
        <f>IF(E13=0,0,E12/E13)</f>
        <v/>
      </c>
      <c r="F14" s="28">
        <f>IF(F13=0,0,F12/F13)</f>
        <v/>
      </c>
      <c r="G14" s="29">
        <f>IF(G13=0,0,G12/G13)</f>
        <v/>
      </c>
      <c r="H14" s="29">
        <f>IF(H13=0,0,H12/H13)</f>
        <v/>
      </c>
      <c r="I14" s="29">
        <f>IF(I13=0,0,I12/I13)</f>
        <v/>
      </c>
      <c r="J14" s="29">
        <f>IF(J13=0,0,J12/J13)</f>
        <v/>
      </c>
      <c r="K14" s="29">
        <f>IF(K13=0,0,K12/K13)</f>
        <v/>
      </c>
    </row>
    <row r="16">
      <c r="A16" s="25" t="inlineStr">
        <is>
          <t>LEVERAGE</t>
        </is>
      </c>
      <c r="B16" s="26" t="n"/>
      <c r="C16" s="26" t="n"/>
      <c r="D16" s="26" t="n"/>
      <c r="E16" s="26" t="n"/>
      <c r="F16" s="26" t="n"/>
      <c r="G16" s="26" t="n"/>
      <c r="H16" s="26" t="n"/>
      <c r="I16" s="26" t="n"/>
      <c r="J16" s="26" t="n"/>
      <c r="K16" s="26" t="n"/>
    </row>
    <row r="17">
      <c r="A17" s="13" t="inlineStr">
        <is>
          <t>Average Total Assets</t>
        </is>
      </c>
      <c r="B17" s="24">
        <f>'Balance Sheet'!B21</f>
        <v/>
      </c>
      <c r="C17" s="24">
        <f>('Balance Sheet'!C21+'Balance Sheet'!B21)/2</f>
        <v/>
      </c>
      <c r="D17" s="24">
        <f>('Balance Sheet'!D21+'Balance Sheet'!C21)/2</f>
        <v/>
      </c>
      <c r="E17" s="24">
        <f>('Balance Sheet'!E21+'Balance Sheet'!D21)/2</f>
        <v/>
      </c>
      <c r="F17" s="24">
        <f>('Balance Sheet'!F21+'Balance Sheet'!E21)/2</f>
        <v/>
      </c>
      <c r="G17" s="27">
        <f>('Balance Sheet'!G21+'Balance Sheet'!F21)/2</f>
        <v/>
      </c>
      <c r="H17" s="27">
        <f>('Balance Sheet'!H21+'Balance Sheet'!G21)/2</f>
        <v/>
      </c>
      <c r="I17" s="27">
        <f>('Balance Sheet'!I21+'Balance Sheet'!H21)/2</f>
        <v/>
      </c>
      <c r="J17" s="27">
        <f>('Balance Sheet'!J21+'Balance Sheet'!I21)/2</f>
        <v/>
      </c>
      <c r="K17" s="27">
        <f>('Balance Sheet'!K21+'Balance Sheet'!J21)/2</f>
        <v/>
      </c>
    </row>
    <row r="18">
      <c r="A18" s="13" t="inlineStr">
        <is>
          <t>Average Equity</t>
        </is>
      </c>
      <c r="B18" s="24">
        <f>'Balance Sheet'!B8</f>
        <v/>
      </c>
      <c r="C18" s="24">
        <f>('Balance Sheet'!C8+'Balance Sheet'!B8)/2</f>
        <v/>
      </c>
      <c r="D18" s="24">
        <f>('Balance Sheet'!D8+'Balance Sheet'!C8)/2</f>
        <v/>
      </c>
      <c r="E18" s="24">
        <f>('Balance Sheet'!E8+'Balance Sheet'!D8)/2</f>
        <v/>
      </c>
      <c r="F18" s="24">
        <f>('Balance Sheet'!F8+'Balance Sheet'!E8)/2</f>
        <v/>
      </c>
      <c r="G18" s="27">
        <f>('Balance Sheet'!G8+'Balance Sheet'!F8)/2</f>
        <v/>
      </c>
      <c r="H18" s="27">
        <f>('Balance Sheet'!H8+'Balance Sheet'!G8)/2</f>
        <v/>
      </c>
      <c r="I18" s="27">
        <f>('Balance Sheet'!I8+'Balance Sheet'!H8)/2</f>
        <v/>
      </c>
      <c r="J18" s="27">
        <f>('Balance Sheet'!J8+'Balance Sheet'!I8)/2</f>
        <v/>
      </c>
      <c r="K18" s="27">
        <f>('Balance Sheet'!K8+'Balance Sheet'!J8)/2</f>
        <v/>
      </c>
    </row>
    <row r="19">
      <c r="A19" s="13" t="inlineStr">
        <is>
          <t>Equity Multiplier (x)</t>
        </is>
      </c>
      <c r="B19" s="28">
        <f>IF(B18=0,0,B17/B18)</f>
        <v/>
      </c>
      <c r="C19" s="28">
        <f>IF(C18=0,0,C17/C18)</f>
        <v/>
      </c>
      <c r="D19" s="28">
        <f>IF(D18=0,0,D17/D18)</f>
        <v/>
      </c>
      <c r="E19" s="28">
        <f>IF(E18=0,0,E17/E18)</f>
        <v/>
      </c>
      <c r="F19" s="28">
        <f>IF(F18=0,0,F17/F18)</f>
        <v/>
      </c>
      <c r="G19" s="29">
        <f>IF(G18=0,0,G17/G18)</f>
        <v/>
      </c>
      <c r="H19" s="29">
        <f>IF(H18=0,0,H17/H18)</f>
        <v/>
      </c>
      <c r="I19" s="29">
        <f>IF(I18=0,0,I17/I18)</f>
        <v/>
      </c>
      <c r="J19" s="29">
        <f>IF(J18=0,0,J17/J18)</f>
        <v/>
      </c>
      <c r="K19" s="29">
        <f>IF(K18=0,0,K17/K18)</f>
        <v/>
      </c>
    </row>
    <row r="21">
      <c r="A21" s="25" t="inlineStr">
        <is>
          <t>ROE CALCULATION</t>
        </is>
      </c>
      <c r="B21" s="26" t="n"/>
      <c r="C21" s="26" t="n"/>
      <c r="D21" s="26" t="n"/>
      <c r="E21" s="26" t="n"/>
      <c r="F21" s="26" t="n"/>
      <c r="G21" s="26" t="n"/>
      <c r="H21" s="26" t="n"/>
      <c r="I21" s="26" t="n"/>
      <c r="J21" s="26" t="n"/>
      <c r="K21" s="26" t="n"/>
    </row>
    <row r="22">
      <c r="A22" s="13" t="inlineStr">
        <is>
          <t>ROE (%)</t>
        </is>
      </c>
      <c r="B22" s="30">
        <f>IF(B18=0,0,B7/B18*100)</f>
        <v/>
      </c>
      <c r="C22" s="30">
        <f>IF(C18=0,0,C7/C18*100)</f>
        <v/>
      </c>
      <c r="D22" s="30">
        <f>IF(D18=0,0,D7/D18*100)</f>
        <v/>
      </c>
      <c r="E22" s="30">
        <f>IF(E18=0,0,E7/E18*100)</f>
        <v/>
      </c>
      <c r="F22" s="30">
        <f>IF(F18=0,0,F7/F18*100)</f>
        <v/>
      </c>
      <c r="G22" s="31">
        <f>IF(G18=0,0,G7/G18*100)</f>
        <v/>
      </c>
      <c r="H22" s="31">
        <f>IF(H18=0,0,H7/H18*100)</f>
        <v/>
      </c>
      <c r="I22" s="31">
        <f>IF(I18=0,0,I7/I18*100)</f>
        <v/>
      </c>
      <c r="J22" s="31">
        <f>IF(J18=0,0,J7/J18*100)</f>
        <v/>
      </c>
      <c r="K22" s="31">
        <f>IF(K18=0,0,K7/K18*100)</f>
        <v/>
      </c>
    </row>
    <row r="23">
      <c r="A23" s="13" t="inlineStr">
        <is>
          <t>ROE Check: NPM x AT x EM (%)</t>
        </is>
      </c>
      <c r="B23" s="32">
        <f>B9/100*B14*B19*100</f>
        <v/>
      </c>
      <c r="C23" s="32">
        <f>C9/100*C14*C19*100</f>
        <v/>
      </c>
      <c r="D23" s="32">
        <f>D9/100*D14*D19*100</f>
        <v/>
      </c>
      <c r="E23" s="32">
        <f>E9/100*E14*E19*100</f>
        <v/>
      </c>
      <c r="F23" s="32">
        <f>F9/100*F14*F19*100</f>
        <v/>
      </c>
      <c r="G23" s="33">
        <f>G9/100*G14*G19*100</f>
        <v/>
      </c>
      <c r="H23" s="33">
        <f>H9/100*H14*H19*100</f>
        <v/>
      </c>
      <c r="I23" s="33">
        <f>I9/100*I14*I19*100</f>
        <v/>
      </c>
      <c r="J23" s="33">
        <f>J9/100*J14*J19*100</f>
        <v/>
      </c>
      <c r="K23" s="33">
        <f>K9/100*K14*K19*100</f>
        <v/>
      </c>
    </row>
    <row r="26">
      <c r="A26" s="5" t="inlineStr">
        <is>
          <t>INTERPRETATION</t>
        </is>
      </c>
    </row>
    <row r="27">
      <c r="A27" t="inlineStr">
        <is>
          <t>ROE = Net Profit Margin x Asset Turnover x Equity Multiplier</t>
        </is>
      </c>
    </row>
    <row r="28">
      <c r="A28" t="inlineStr">
        <is>
          <t>- Net Profit Margin: How much profit per rupee of revenue (profitability)</t>
        </is>
      </c>
    </row>
    <row r="29">
      <c r="A29" t="inlineStr">
        <is>
          <t>- Asset Turnover: How efficiently assets generate revenue (efficiency)</t>
        </is>
      </c>
    </row>
    <row r="30">
      <c r="A30" t="inlineStr">
        <is>
          <t>- Equity Multiplier: Financial leverage (higher = more debt)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0" t="inlineStr">
        <is>
          <t>QUARTERLY RESULTS</t>
        </is>
      </c>
    </row>
    <row r="3">
      <c r="A3" s="12" t="inlineStr">
        <is>
          <t>Line Item</t>
        </is>
      </c>
      <c r="B3" s="12" t="inlineStr">
        <is>
          <t>Dec 2023</t>
        </is>
      </c>
      <c r="C3" s="12" t="inlineStr">
        <is>
          <t>Dec 2024</t>
        </is>
      </c>
      <c r="D3" s="12" t="inlineStr">
        <is>
          <t>Dec 2025</t>
        </is>
      </c>
      <c r="E3" s="12" t="inlineStr">
        <is>
          <t>Jun 2023</t>
        </is>
      </c>
      <c r="F3" s="12" t="inlineStr">
        <is>
          <t>Jun 2024</t>
        </is>
      </c>
      <c r="G3" s="12" t="inlineStr">
        <is>
          <t>Jun 2025</t>
        </is>
      </c>
      <c r="H3" s="12" t="inlineStr">
        <is>
          <t>Mar 2023</t>
        </is>
      </c>
      <c r="I3" s="12" t="inlineStr">
        <is>
          <t>Mar 2024</t>
        </is>
      </c>
      <c r="J3" s="12" t="inlineStr">
        <is>
          <t>Mar 2025</t>
        </is>
      </c>
      <c r="K3" s="12" t="inlineStr">
        <is>
          <t>Sep 2023</t>
        </is>
      </c>
      <c r="L3" s="12" t="inlineStr">
        <is>
          <t>Sep 2024</t>
        </is>
      </c>
      <c r="M3" s="12" t="inlineStr">
        <is>
          <t>Sep 2025</t>
        </is>
      </c>
    </row>
    <row r="4">
      <c r="A4" s="13" t="inlineStr">
        <is>
          <t>Revenue +</t>
        </is>
      </c>
      <c r="B4" s="15" t="n">
        <v>75039</v>
      </c>
      <c r="C4" s="15" t="n">
        <v>83002</v>
      </c>
      <c r="D4" s="15" t="n">
        <v>86994</v>
      </c>
      <c r="E4" s="15" t="n">
        <v>47548</v>
      </c>
      <c r="F4" s="15" t="n">
        <v>79434</v>
      </c>
      <c r="G4" s="15" t="n">
        <v>86779</v>
      </c>
      <c r="H4" s="15" t="n">
        <v>45002</v>
      </c>
      <c r="I4" s="15" t="n">
        <v>78008</v>
      </c>
      <c r="J4" s="15" t="n">
        <v>85040</v>
      </c>
      <c r="K4" s="15" t="n">
        <v>51168</v>
      </c>
      <c r="L4" s="15" t="n">
        <v>81546</v>
      </c>
      <c r="M4" s="15" t="n">
        <v>87372</v>
      </c>
    </row>
    <row r="5">
      <c r="A5" s="13" t="inlineStr">
        <is>
          <t>Interest</t>
        </is>
      </c>
      <c r="B5" s="15" t="n">
        <v>41250</v>
      </c>
      <c r="C5" s="15" t="n">
        <v>45414</v>
      </c>
      <c r="D5" s="15" t="n">
        <v>46741</v>
      </c>
      <c r="E5" s="15" t="n">
        <v>22606</v>
      </c>
      <c r="F5" s="15" t="n">
        <v>43692</v>
      </c>
      <c r="G5" s="15" t="n">
        <v>46986</v>
      </c>
      <c r="H5" s="15" t="n">
        <v>20505</v>
      </c>
      <c r="I5" s="15" t="n">
        <v>43242</v>
      </c>
      <c r="J5" s="15" t="n">
        <v>46914</v>
      </c>
      <c r="K5" s="15" t="n">
        <v>25955</v>
      </c>
      <c r="L5" s="15" t="n">
        <v>44580</v>
      </c>
      <c r="M5" s="15" t="n">
        <v>47709</v>
      </c>
    </row>
    <row r="6">
      <c r="A6" s="13" t="inlineStr">
        <is>
          <t>Expenses +</t>
        </is>
      </c>
      <c r="B6" s="15" t="n">
        <v>45349</v>
      </c>
      <c r="C6" s="15" t="n">
        <v>52074</v>
      </c>
      <c r="D6" s="15" t="n">
        <v>45161</v>
      </c>
      <c r="E6" s="15" t="n">
        <v>17770</v>
      </c>
      <c r="F6" s="15" t="n">
        <v>62938</v>
      </c>
      <c r="G6" s="15" t="n">
        <v>47709</v>
      </c>
      <c r="H6" s="15" t="n">
        <v>16682</v>
      </c>
      <c r="I6" s="15" t="n">
        <v>50530</v>
      </c>
      <c r="J6" s="15" t="n">
        <v>41307</v>
      </c>
      <c r="K6" s="15" t="n">
        <v>18470</v>
      </c>
      <c r="L6" s="15" t="n">
        <v>49690</v>
      </c>
      <c r="M6" s="15" t="n">
        <v>64497</v>
      </c>
    </row>
    <row r="7">
      <c r="A7" s="13" t="inlineStr">
        <is>
          <t>Financing Profit</t>
        </is>
      </c>
      <c r="B7" s="15" t="n">
        <v>-11560</v>
      </c>
      <c r="C7" s="15" t="n">
        <v>-14487</v>
      </c>
      <c r="D7" s="15" t="n">
        <v>-4908</v>
      </c>
      <c r="E7" s="15" t="n">
        <v>7172</v>
      </c>
      <c r="F7" s="15" t="n">
        <v>-27196</v>
      </c>
      <c r="G7" s="15" t="n">
        <v>-7916</v>
      </c>
      <c r="H7" s="15" t="n">
        <v>7815</v>
      </c>
      <c r="I7" s="15" t="n">
        <v>-15764</v>
      </c>
      <c r="J7" s="15" t="n">
        <v>-3181</v>
      </c>
      <c r="K7" s="15" t="n">
        <v>6744</v>
      </c>
      <c r="L7" s="15" t="n">
        <v>-12723</v>
      </c>
      <c r="M7" s="15" t="n">
        <v>-24833</v>
      </c>
    </row>
    <row r="8">
      <c r="A8" s="13" t="inlineStr">
        <is>
          <t>Financing Margin %</t>
        </is>
      </c>
      <c r="B8" s="15" t="n">
        <v>-15</v>
      </c>
      <c r="C8" s="15" t="n">
        <v>-17</v>
      </c>
      <c r="D8" s="15" t="n">
        <v>-6</v>
      </c>
      <c r="E8" s="15" t="n">
        <v>15</v>
      </c>
      <c r="F8" s="15" t="n">
        <v>-34</v>
      </c>
      <c r="G8" s="15" t="n">
        <v>-9</v>
      </c>
      <c r="H8" s="15" t="n">
        <v>17</v>
      </c>
      <c r="I8" s="15" t="n">
        <v>-20</v>
      </c>
      <c r="J8" s="15" t="n">
        <v>-4</v>
      </c>
      <c r="K8" s="15" t="n">
        <v>13</v>
      </c>
      <c r="L8" s="15" t="n">
        <v>-16</v>
      </c>
      <c r="M8" s="15" t="n">
        <v>-28</v>
      </c>
    </row>
    <row r="9">
      <c r="A9" s="13" t="inlineStr">
        <is>
          <t>Other Income +</t>
        </is>
      </c>
      <c r="B9" s="15" t="n">
        <v>32528</v>
      </c>
      <c r="C9" s="15" t="n">
        <v>38455</v>
      </c>
      <c r="D9" s="15" t="n">
        <v>31567</v>
      </c>
      <c r="E9" s="15" t="n">
        <v>9610</v>
      </c>
      <c r="F9" s="15" t="n">
        <v>44958</v>
      </c>
      <c r="G9" s="15" t="n">
        <v>33489</v>
      </c>
      <c r="H9" s="15" t="n">
        <v>9121</v>
      </c>
      <c r="I9" s="15" t="n">
        <v>37007</v>
      </c>
      <c r="J9" s="15" t="n">
        <v>27154</v>
      </c>
      <c r="K9" s="15" t="n">
        <v>9853</v>
      </c>
      <c r="L9" s="15" t="n">
        <v>35450</v>
      </c>
      <c r="M9" s="15" t="n">
        <v>45683</v>
      </c>
    </row>
    <row r="10">
      <c r="A10" s="13" t="inlineStr">
        <is>
          <t>Depreciation</t>
        </is>
      </c>
      <c r="B10" s="15" t="n">
        <v>0</v>
      </c>
      <c r="C10" s="15" t="n">
        <v>0</v>
      </c>
      <c r="D10" s="15" t="n">
        <v>0</v>
      </c>
      <c r="E10" s="15" t="n">
        <v>0</v>
      </c>
      <c r="F10" s="15" t="n">
        <v>0</v>
      </c>
      <c r="G10" s="15" t="n">
        <v>0</v>
      </c>
      <c r="H10" s="15" t="n">
        <v>0</v>
      </c>
      <c r="I10" s="15" t="n">
        <v>0</v>
      </c>
      <c r="J10" s="15" t="n">
        <v>0</v>
      </c>
      <c r="K10" s="15" t="n">
        <v>0</v>
      </c>
      <c r="L10" s="15" t="n">
        <v>0</v>
      </c>
      <c r="M10" s="15" t="n">
        <v>0</v>
      </c>
    </row>
    <row r="11">
      <c r="A11" s="13" t="inlineStr">
        <is>
          <t>Profit before tax</t>
        </is>
      </c>
      <c r="B11" s="15" t="n">
        <v>20967</v>
      </c>
      <c r="C11" s="15" t="n">
        <v>23968</v>
      </c>
      <c r="D11" s="15" t="n">
        <v>26659</v>
      </c>
      <c r="E11" s="15" t="n">
        <v>16783</v>
      </c>
      <c r="F11" s="15" t="n">
        <v>17761</v>
      </c>
      <c r="G11" s="15" t="n">
        <v>25573</v>
      </c>
      <c r="H11" s="15" t="n">
        <v>16936</v>
      </c>
      <c r="I11" s="15" t="n">
        <v>21243</v>
      </c>
      <c r="J11" s="15" t="n">
        <v>23973</v>
      </c>
      <c r="K11" s="15" t="n">
        <v>16597</v>
      </c>
      <c r="L11" s="15" t="n">
        <v>22727</v>
      </c>
      <c r="M11" s="15" t="n">
        <v>20850</v>
      </c>
    </row>
    <row r="12">
      <c r="A12" s="13" t="inlineStr">
        <is>
          <t>Tax %</t>
        </is>
      </c>
      <c r="B12" s="15" t="n">
        <v>17</v>
      </c>
      <c r="C12" s="15" t="n">
        <v>22</v>
      </c>
      <c r="D12" s="15" t="n">
        <v>24</v>
      </c>
      <c r="E12" s="15" t="n">
        <v>25</v>
      </c>
      <c r="F12" s="15" t="n">
        <v>-1</v>
      </c>
      <c r="G12" s="15" t="n">
        <v>25</v>
      </c>
      <c r="H12" s="15" t="n">
        <v>25</v>
      </c>
      <c r="I12" s="15" t="n">
        <v>17</v>
      </c>
      <c r="J12" s="15" t="n">
        <v>24</v>
      </c>
      <c r="K12" s="15" t="n">
        <v>25</v>
      </c>
      <c r="L12" s="15" t="n">
        <v>24</v>
      </c>
      <c r="M12" s="15" t="n">
        <v>18</v>
      </c>
    </row>
    <row r="13">
      <c r="A13" s="13" t="inlineStr">
        <is>
          <t>Net Profit +</t>
        </is>
      </c>
      <c r="B13" s="15" t="n">
        <v>17312</v>
      </c>
      <c r="C13" s="15" t="n">
        <v>18627</v>
      </c>
      <c r="D13" s="15" t="n">
        <v>20364</v>
      </c>
      <c r="E13" s="15" t="n">
        <v>12634</v>
      </c>
      <c r="F13" s="15" t="n">
        <v>18013</v>
      </c>
      <c r="G13" s="15" t="n">
        <v>19285</v>
      </c>
      <c r="H13" s="15" t="n">
        <v>12735</v>
      </c>
      <c r="I13" s="15" t="n">
        <v>17718</v>
      </c>
      <c r="J13" s="15" t="n">
        <v>18340</v>
      </c>
      <c r="K13" s="15" t="n">
        <v>12403</v>
      </c>
      <c r="L13" s="15" t="n">
        <v>17188</v>
      </c>
      <c r="M13" s="15" t="n">
        <v>17090</v>
      </c>
    </row>
    <row r="14">
      <c r="A14" s="13" t="inlineStr">
        <is>
          <t>EPS in Rs</t>
        </is>
      </c>
      <c r="B14" s="15" t="n">
        <v>11.09</v>
      </c>
      <c r="C14" s="15" t="n">
        <v>11.68</v>
      </c>
      <c r="D14" s="15" t="n">
        <v>12.76</v>
      </c>
      <c r="E14" s="15" t="n">
        <v>11.29</v>
      </c>
      <c r="F14" s="15" t="n">
        <v>11.6</v>
      </c>
      <c r="G14" s="15" t="n">
        <v>12.31</v>
      </c>
      <c r="H14" s="15" t="n">
        <v>11.39</v>
      </c>
      <c r="I14" s="15" t="n">
        <v>11.37</v>
      </c>
      <c r="J14" s="15" t="n">
        <v>11.54</v>
      </c>
      <c r="K14" s="15" t="n">
        <v>11.06</v>
      </c>
      <c r="L14" s="15" t="n">
        <v>10.83</v>
      </c>
      <c r="M14" s="15" t="n">
        <v>10.6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0" t="inlineStr">
        <is>
          <t>KEY FINANCIAL RATIOS</t>
        </is>
      </c>
    </row>
    <row r="3">
      <c r="A3" s="12" t="inlineStr">
        <is>
          <t>Ratio</t>
        </is>
      </c>
      <c r="B3" s="12" t="inlineStr">
        <is>
          <t>Mar 2016</t>
        </is>
      </c>
      <c r="C3" s="12" t="inlineStr">
        <is>
          <t>Mar 2017</t>
        </is>
      </c>
      <c r="D3" s="12" t="inlineStr">
        <is>
          <t>Mar 2018</t>
        </is>
      </c>
      <c r="E3" s="12" t="inlineStr">
        <is>
          <t>Mar 2019</t>
        </is>
      </c>
      <c r="F3" s="12" t="inlineStr">
        <is>
          <t>Mar 2020</t>
        </is>
      </c>
      <c r="G3" s="12" t="inlineStr">
        <is>
          <t>Mar 2021</t>
        </is>
      </c>
      <c r="H3" s="12" t="inlineStr">
        <is>
          <t>Mar 2022</t>
        </is>
      </c>
      <c r="I3" s="12" t="inlineStr">
        <is>
          <t>Mar 2023</t>
        </is>
      </c>
      <c r="J3" s="12" t="inlineStr">
        <is>
          <t>Mar 2024</t>
        </is>
      </c>
      <c r="K3" s="12" t="inlineStr">
        <is>
          <t>Mar 2025</t>
        </is>
      </c>
    </row>
    <row r="4">
      <c r="A4" s="13" t="inlineStr">
        <is>
          <t>ROE %</t>
        </is>
      </c>
      <c r="B4" s="34" t="n">
        <v>20</v>
      </c>
      <c r="C4" s="34" t="n">
        <v>19</v>
      </c>
      <c r="D4" s="34" t="n">
        <v>18</v>
      </c>
      <c r="E4" s="34" t="n">
        <v>18</v>
      </c>
      <c r="F4" s="34" t="n">
        <v>17</v>
      </c>
      <c r="G4" s="34" t="n">
        <v>16</v>
      </c>
      <c r="H4" s="34" t="n">
        <v>16</v>
      </c>
      <c r="I4" s="34" t="n">
        <v>17</v>
      </c>
      <c r="J4" s="34" t="n">
        <v>17</v>
      </c>
      <c r="K4" s="34" t="n">
        <v>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0" t="inlineStr">
        <is>
          <t>VALUATION MODEL</t>
        </is>
      </c>
    </row>
    <row r="2">
      <c r="A2" s="11" t="inlineStr">
        <is>
          <t>Residual Income Valuation (RIV) - All values linked to projected financials</t>
        </is>
      </c>
    </row>
    <row r="4">
      <c r="A4" s="5" t="inlineStr">
        <is>
          <t>VALUATION INPUTS</t>
        </is>
      </c>
    </row>
    <row r="6">
      <c r="A6" s="12" t="inlineStr">
        <is>
          <t>Parameter</t>
        </is>
      </c>
      <c r="B6" s="12" t="inlineStr">
        <is>
          <t>Value</t>
        </is>
      </c>
      <c r="C6" s="12" t="inlineStr">
        <is>
          <t>Note</t>
        </is>
      </c>
    </row>
    <row r="7">
      <c r="A7" s="13" t="inlineStr">
        <is>
          <t>Risk-Free Rate (Rf)</t>
        </is>
      </c>
      <c r="B7" s="35" t="n">
        <v>0.07000000000000001</v>
      </c>
      <c r="C7" s="13" t="inlineStr">
        <is>
          <t>10-year G-Sec yield</t>
        </is>
      </c>
    </row>
    <row r="8">
      <c r="A8" s="13" t="inlineStr">
        <is>
          <t>Equity Risk Premium</t>
        </is>
      </c>
      <c r="B8" s="35" t="n">
        <v>0.06</v>
      </c>
      <c r="C8" s="13" t="inlineStr">
        <is>
          <t>India market premium</t>
        </is>
      </c>
    </row>
    <row r="9">
      <c r="A9" s="13" t="inlineStr">
        <is>
          <t>Beta</t>
        </is>
      </c>
      <c r="B9" s="36" t="n">
        <v>1</v>
      </c>
      <c r="C9" s="13" t="inlineStr">
        <is>
          <t>Company beta</t>
        </is>
      </c>
    </row>
    <row r="10">
      <c r="A10" s="13" t="inlineStr">
        <is>
          <t>Cost of Equity (Ke)</t>
        </is>
      </c>
      <c r="B10" s="37">
        <f>B7+B9*B8</f>
        <v/>
      </c>
      <c r="C10" s="13">
        <f>Rf + Beta × ERP</f>
        <v/>
      </c>
    </row>
    <row r="11">
      <c r="A11" s="13" t="inlineStr">
        <is>
          <t>Terminal Growth (g)</t>
        </is>
      </c>
      <c r="B11" s="35" t="n">
        <v>0.04</v>
      </c>
      <c r="C11" s="13" t="inlineStr">
        <is>
          <t>Long-term GDP growth</t>
        </is>
      </c>
    </row>
    <row r="12">
      <c r="A12" s="13" t="inlineStr">
        <is>
          <t>Shares Outstanding (Cr)</t>
        </is>
      </c>
      <c r="B12" s="38" t="n">
        <v>761.08</v>
      </c>
      <c r="C12" s="13" t="n"/>
    </row>
    <row r="13">
      <c r="A13" s="13" t="n"/>
      <c r="B13" s="13" t="n"/>
      <c r="C13" s="13" t="n"/>
    </row>
    <row r="14">
      <c r="A14" s="39" t="inlineStr">
        <is>
          <t>PROJECTED FINANCIALS</t>
        </is>
      </c>
      <c r="B14" s="13" t="n"/>
      <c r="C14" s="13" t="n"/>
    </row>
    <row r="15">
      <c r="A15" s="13" t="n"/>
      <c r="B15" s="13" t="n"/>
      <c r="C15" s="13" t="n"/>
    </row>
    <row r="16">
      <c r="A16" s="12" t="inlineStr">
        <is>
          <t>Metric</t>
        </is>
      </c>
      <c r="B16" s="12" t="inlineStr">
        <is>
          <t>FY26E</t>
        </is>
      </c>
      <c r="C16" s="12" t="inlineStr">
        <is>
          <t>FY27E</t>
        </is>
      </c>
      <c r="D16" s="12" t="inlineStr">
        <is>
          <t>FY28E</t>
        </is>
      </c>
      <c r="E16" s="12" t="inlineStr">
        <is>
          <t>FY29E</t>
        </is>
      </c>
      <c r="F16" s="12" t="inlineStr">
        <is>
          <t>FY30E</t>
        </is>
      </c>
    </row>
    <row r="17">
      <c r="A17" s="13" t="inlineStr">
        <is>
          <t>Net Profit (Rs. Cr)</t>
        </is>
      </c>
      <c r="B17" s="40" t="n"/>
      <c r="C17" s="40" t="n"/>
      <c r="D17" s="41" t="n"/>
      <c r="E17" s="41" t="n"/>
      <c r="F17" s="41" t="n"/>
    </row>
    <row r="18">
      <c r="A18" s="13" t="inlineStr">
        <is>
          <t>Shareholders' Equity (Rs. Cr)</t>
        </is>
      </c>
      <c r="B18" s="40">
        <f>'Balance Sheet'!G8</f>
        <v/>
      </c>
      <c r="C18" s="40">
        <f>'Balance Sheet'!H8</f>
        <v/>
      </c>
      <c r="D18" s="41">
        <f>'Balance Sheet'!I8</f>
        <v/>
      </c>
      <c r="E18" s="41">
        <f>'Balance Sheet'!J8</f>
        <v/>
      </c>
      <c r="F18" s="41">
        <f>'Balance Sheet'!K8</f>
        <v/>
      </c>
    </row>
    <row r="19">
      <c r="A19" s="13" t="inlineStr">
        <is>
          <t>Opening Equity (Rs. Cr)</t>
        </is>
      </c>
      <c r="B19" s="40">
        <f>'Balance Sheet'!F8</f>
        <v/>
      </c>
      <c r="C19" s="40">
        <f>B18</f>
        <v/>
      </c>
      <c r="D19" s="41">
        <f>C18</f>
        <v/>
      </c>
      <c r="E19" s="41">
        <f>D18</f>
        <v/>
      </c>
      <c r="F19" s="41">
        <f>E18</f>
        <v/>
      </c>
    </row>
    <row r="20">
      <c r="A20" s="13" t="inlineStr">
        <is>
          <t>Average Equity (Rs. Cr)</t>
        </is>
      </c>
      <c r="B20" s="40">
        <f>(B18+B19)/2</f>
        <v/>
      </c>
      <c r="C20" s="40">
        <f>(C18+C19)/2</f>
        <v/>
      </c>
      <c r="D20" s="41">
        <f>(D18+D19)/2</f>
        <v/>
      </c>
      <c r="E20" s="41">
        <f>(E18+E19)/2</f>
        <v/>
      </c>
      <c r="F20" s="41">
        <f>(F18+F19)/2</f>
        <v/>
      </c>
    </row>
    <row r="21">
      <c r="A21" s="17" t="inlineStr">
        <is>
          <t>ROE (%)</t>
        </is>
      </c>
      <c r="B21" s="42">
        <f>IF(B20=0,0,B17/B20)</f>
        <v/>
      </c>
      <c r="C21" s="42">
        <f>IF(C20=0,0,C17/C20)</f>
        <v/>
      </c>
      <c r="D21" s="43">
        <f>IF(D20=0,0,D17/D20)</f>
        <v/>
      </c>
      <c r="E21" s="43">
        <f>IF(E20=0,0,E17/E20)</f>
        <v/>
      </c>
      <c r="F21" s="43">
        <f>IF(F20=0,0,F17/F20)</f>
        <v/>
      </c>
    </row>
    <row r="22">
      <c r="A22" s="13" t="n"/>
      <c r="B22" s="13" t="n"/>
      <c r="C22" s="13" t="n"/>
    </row>
    <row r="23">
      <c r="A23" s="39" t="inlineStr">
        <is>
          <t>RESIDUAL INCOME CALCULATION</t>
        </is>
      </c>
      <c r="B23" s="13" t="n"/>
      <c r="C23" s="13" t="n"/>
    </row>
    <row r="24">
      <c r="A24" s="13" t="n"/>
      <c r="B24" s="13" t="n"/>
      <c r="C24" s="13" t="n"/>
    </row>
    <row r="25">
      <c r="A25" s="12" t="inlineStr">
        <is>
          <t>Component</t>
        </is>
      </c>
      <c r="B25" s="12" t="inlineStr">
        <is>
          <t>FY26E</t>
        </is>
      </c>
      <c r="C25" s="12" t="inlineStr">
        <is>
          <t>FY27E</t>
        </is>
      </c>
      <c r="D25" s="12" t="inlineStr">
        <is>
          <t>FY28E</t>
        </is>
      </c>
      <c r="E25" s="12" t="inlineStr">
        <is>
          <t>FY29E</t>
        </is>
      </c>
      <c r="F25" s="12" t="inlineStr">
        <is>
          <t>FY30E</t>
        </is>
      </c>
    </row>
    <row r="26">
      <c r="A26" s="13" t="inlineStr">
        <is>
          <t>Required Return (Rs. Cr)</t>
        </is>
      </c>
      <c r="B26" s="40">
        <f>B19*$B$10</f>
        <v/>
      </c>
      <c r="C26" s="40">
        <f>C19*$B$10</f>
        <v/>
      </c>
      <c r="D26" s="41">
        <f>D19*$B$10</f>
        <v/>
      </c>
      <c r="E26" s="41">
        <f>E19*$B$10</f>
        <v/>
      </c>
      <c r="F26" s="41">
        <f>F19*$B$10</f>
        <v/>
      </c>
    </row>
    <row r="27">
      <c r="A27" s="17" t="inlineStr">
        <is>
          <t>Residual Income (Rs. Cr)</t>
        </is>
      </c>
      <c r="B27" s="44">
        <f>B17-B26</f>
        <v/>
      </c>
      <c r="C27" s="44">
        <f>C17-C26</f>
        <v/>
      </c>
      <c r="D27" s="45">
        <f>D17-D26</f>
        <v/>
      </c>
      <c r="E27" s="45">
        <f>E17-E26</f>
        <v/>
      </c>
      <c r="F27" s="45">
        <f>F17-F26</f>
        <v/>
      </c>
    </row>
    <row r="28">
      <c r="A28" s="13" t="inlineStr">
        <is>
          <t>Discount Factor</t>
        </is>
      </c>
      <c r="B28" s="46">
        <f>1/(1+$B$10)^1</f>
        <v/>
      </c>
      <c r="C28" s="46">
        <f>1/(1+$B$10)^2</f>
        <v/>
      </c>
      <c r="D28" s="47">
        <f>1/(1+$B$10)^3</f>
        <v/>
      </c>
      <c r="E28" s="47">
        <f>1/(1+$B$10)^4</f>
        <v/>
      </c>
      <c r="F28" s="47">
        <f>1/(1+$B$10)^5</f>
        <v/>
      </c>
    </row>
    <row r="29">
      <c r="A29" s="13" t="inlineStr">
        <is>
          <t>PV of Residual Income (Rs. Cr)</t>
        </is>
      </c>
      <c r="B29" s="40">
        <f>B27*B28</f>
        <v/>
      </c>
      <c r="C29" s="40">
        <f>C27*C28</f>
        <v/>
      </c>
      <c r="D29" s="41">
        <f>D27*D28</f>
        <v/>
      </c>
      <c r="E29" s="41">
        <f>E27*E28</f>
        <v/>
      </c>
      <c r="F29" s="41">
        <f>F27*F28</f>
        <v/>
      </c>
    </row>
    <row r="30">
      <c r="A30" s="13" t="n"/>
      <c r="B30" s="13" t="n"/>
      <c r="C30" s="13" t="n"/>
    </row>
    <row r="31">
      <c r="A31" s="39" t="inlineStr">
        <is>
          <t>VALUATION SUMMARY</t>
        </is>
      </c>
      <c r="B31" s="13" t="n"/>
      <c r="C31" s="13" t="n"/>
    </row>
    <row r="32">
      <c r="A32" s="13" t="n"/>
      <c r="B32" s="13" t="n"/>
      <c r="C32" s="13" t="n"/>
    </row>
    <row r="33">
      <c r="A33" s="13" t="inlineStr">
        <is>
          <t>Current Book Value (Rs. Cr)</t>
        </is>
      </c>
      <c r="B33" s="48">
        <f>'Balance Sheet'!F8</f>
        <v/>
      </c>
      <c r="C33" s="13" t="n"/>
    </row>
    <row r="34">
      <c r="A34" s="13" t="inlineStr">
        <is>
          <t>Sum of PV of RI (Rs. Cr)</t>
        </is>
      </c>
      <c r="B34" s="48">
        <f>B29+C29+D29+E29+F29</f>
        <v/>
      </c>
      <c r="C34" s="13" t="n"/>
    </row>
    <row r="35">
      <c r="A35" s="13" t="inlineStr">
        <is>
          <t>Terminal Value (Rs. Cr)</t>
        </is>
      </c>
      <c r="B35" s="48">
        <f>F27*(1+$B$11)/($B$10-$B$11)*F28</f>
        <v/>
      </c>
      <c r="C35" s="13" t="n"/>
    </row>
    <row r="36">
      <c r="A36" s="17" t="inlineStr">
        <is>
          <t>Total Equity Value (Rs. Cr)</t>
        </is>
      </c>
      <c r="B36" s="49">
        <f>B33+B34+B35</f>
        <v/>
      </c>
      <c r="C36" s="13" t="n"/>
    </row>
    <row r="37">
      <c r="A37" s="13" t="n"/>
      <c r="B37" s="13" t="n"/>
      <c r="C37" s="13" t="n"/>
    </row>
    <row r="38">
      <c r="A38" s="39" t="inlineStr">
        <is>
          <t>PER SHARE VALUATION</t>
        </is>
      </c>
      <c r="B38" s="13" t="n"/>
      <c r="C38" s="13" t="n"/>
    </row>
    <row r="39">
      <c r="A39" s="13" t="n"/>
      <c r="B39" s="13" t="n"/>
      <c r="C39" s="13" t="n"/>
    </row>
    <row r="40">
      <c r="A40" s="50" t="inlineStr">
        <is>
          <t>Fair Value per Share (Rs.)</t>
        </is>
      </c>
      <c r="B40" s="51">
        <f>B36/B12</f>
        <v/>
      </c>
      <c r="C40" s="13" t="n"/>
    </row>
    <row r="41">
      <c r="A41" s="13" t="inlineStr">
        <is>
          <t>Current Market Price (Rs.)</t>
        </is>
      </c>
      <c r="B41" s="52" t="n">
        <v>1737.95</v>
      </c>
      <c r="C41" s="13" t="n"/>
    </row>
    <row r="42">
      <c r="A42" s="17" t="inlineStr">
        <is>
          <t>Upside / Downside (%)</t>
        </is>
      </c>
      <c r="B42" s="37">
        <f>(B40-B41)/B41</f>
        <v/>
      </c>
      <c r="C42" s="13" t="n"/>
    </row>
    <row r="43">
      <c r="A43" s="13" t="n"/>
      <c r="B43" s="13" t="n"/>
      <c r="C43" s="13" t="n"/>
    </row>
    <row r="44">
      <c r="A44" s="39" t="inlineStr">
        <is>
          <t>RECOMMENDATION</t>
        </is>
      </c>
      <c r="B44" s="13" t="n"/>
      <c r="C44" s="13" t="n"/>
    </row>
    <row r="45">
      <c r="A45" s="53" t="inlineStr">
        <is>
          <t>HOLD</t>
        </is>
      </c>
      <c r="B45" s="13" t="n"/>
      <c r="C45" s="13" t="n"/>
    </row>
    <row r="46">
      <c r="A46" s="13" t="n"/>
      <c r="B46" s="13" t="n"/>
      <c r="C46" s="13" t="n"/>
    </row>
    <row r="47">
      <c r="A47" s="9" t="inlineStr">
        <is>
          <t>ROE of 13.9% marginally exceeds cost of equity of 13%, generating modest residual income. Given limited spread and premium valuation typical of quality private banks, current price offers fair value with minimal upside.</t>
        </is>
      </c>
    </row>
  </sheetData>
  <mergeCells count="1">
    <mergeCell ref="A47:F4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5" customWidth="1" min="1" max="1"/>
  </cols>
  <sheetData>
    <row r="1">
      <c r="A1" s="10" t="inlineStr">
        <is>
          <t>PEER COMPARISON</t>
        </is>
      </c>
    </row>
    <row r="3">
      <c r="A3" s="12" t="inlineStr">
        <is>
          <t>Name</t>
        </is>
      </c>
    </row>
    <row r="4">
      <c r="A4" s="54" t="inlineStr">
        <is>
          <t>S.No.</t>
        </is>
      </c>
    </row>
    <row r="5">
      <c r="A5" s="54" t="inlineStr">
        <is>
          <t>1.</t>
        </is>
      </c>
    </row>
    <row r="6">
      <c r="A6" s="54" t="inlineStr">
        <is>
          <t>2.</t>
        </is>
      </c>
    </row>
    <row r="7">
      <c r="A7" s="54" t="inlineStr">
        <is>
          <t>3.</t>
        </is>
      </c>
    </row>
    <row r="8">
      <c r="A8" s="54" t="inlineStr">
        <is>
          <t>4.</t>
        </is>
      </c>
    </row>
    <row r="9">
      <c r="A9" s="54" t="inlineStr">
        <is>
          <t>5.</t>
        </is>
      </c>
    </row>
    <row r="10">
      <c r="A10" s="54" t="inlineStr">
        <is>
          <t>6.</t>
        </is>
      </c>
    </row>
    <row r="11">
      <c r="A11" s="54" t="inlineStr">
        <is>
          <t>7.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0" t="inlineStr">
        <is>
          <t>INVESTMENT THESIS</t>
        </is>
      </c>
    </row>
    <row r="2">
      <c r="A2" s="8" t="inlineStr">
        <is>
          <t>HDFC Bank Ltd (HDFCBANK)</t>
        </is>
      </c>
    </row>
    <row r="4">
      <c r="A4" s="55" t="inlineStr">
        <is>
          <t>HOLD | Target: Rs.1,820 | Upside: 4.7%</t>
        </is>
      </c>
    </row>
    <row r="7">
      <c r="A7" s="5" t="inlineStr">
        <is>
          <t>STRENGTHS (from Screener.in)</t>
        </is>
      </c>
    </row>
    <row r="8">
      <c r="A8" s="9" t="inlineStr">
        <is>
          <t>* Company has delivered good profit growth of 21.0% CAGR over last 5 years</t>
        </is>
      </c>
    </row>
    <row r="9">
      <c r="A9" s="9" t="inlineStr">
        <is>
          <t>* Company has been maintaining a healthy dividend payout of 23.3%</t>
        </is>
      </c>
    </row>
    <row r="10">
      <c r="A10" s="9" t="inlineStr">
        <is>
          <t>* Company's median sales growth is 16.4% of last 10 years</t>
        </is>
      </c>
    </row>
    <row r="12">
      <c r="A12" s="5" t="inlineStr">
        <is>
          <t>RISKS (from Screener.in)</t>
        </is>
      </c>
    </row>
    <row r="13">
      <c r="A13" s="9" t="inlineStr">
        <is>
          <t>* Stock is trading at 2.50 times its book value</t>
        </is>
      </c>
    </row>
    <row r="14">
      <c r="A14" s="9" t="inlineStr">
        <is>
          <t>* Company has low interest coverage ratio.</t>
        </is>
      </c>
    </row>
    <row r="15">
      <c r="A15" s="9" t="inlineStr">
        <is>
          <t>* Contingent liabilities of Rs.27,80,601 Cr.</t>
        </is>
      </c>
    </row>
    <row r="16">
      <c r="A16" s="9" t="inlineStr">
        <is>
          <t>* Earnings include an other income of Rs.1,50,600 Cr.</t>
        </is>
      </c>
    </row>
    <row r="19">
      <c r="A19" s="5" t="inlineStr">
        <is>
          <t>DETAILED ANALYSIS</t>
        </is>
      </c>
    </row>
    <row r="20" ht="300" customHeight="1">
      <c r="A20" s="56" t="inlineStr">
        <is>
          <t># HDFC Bank Ltd (HDFCBANK) - Investment Note
## RECOMMENDATION SUMMARY
**HOLD** with target price of ₹1,820 (4.7% upside from current ₹1,737.95). Limited near-term upside following post-merger integration challenges, though franchise quality remains intact.
## INVESTMENT CASE
• **Best-in-class asset quality with diversified portfolio**: GNPA at 1.24% (ex-agri: 0.97%) and NNPA at 0.40% with 70% provision coverage ratio demonstrates superior underwriting standards. Balanced retail mix (53% of AUM) across mortgage (30%) and retail assets (23%) provides portfolio stability.
• **Sustained profitability and capital strength**: Strong 21% profit CAGR over five years with ROE at 13.9% and ROA at 1.92%. Fortress balance sheet with CAR at 19.9% and CET1 at 17.4% provides ample headroom for growth and shareholder returns (23.3% dividend payout).
• **Operational efficiency leader**: Cost-to-income ratio of 39.2% remains among the best in private banking. NIM at 3.35% despite post-merger CASA pressure (34%) reflects pricing power and strong liability franchise with ₹3 trillion deposit growth (12.2% YoY).
• **Consistent growth momentum**: Median sales growth of 16.4% over 10 years with current loan growth at 11.9% and deposit growth at 11.6% demonstrates ability to scale while maintaining quality through credit cycles.
## KEY RISKS
• **CASA normalization pressuring margins**: CASA ratio at 34% remains below historical levels post-HDFC Ltd merger. Further compression could impact NIMs and profitability if rate cycle remains adverse or competition for deposits intensifies.
• **Elevated contingent liabilities**: ₹27.8 lakh crore in contingent liabilities (primarily guarantees and derivatives) requires monitoring. Low interest coverage ratio suggests potential vulnerability to rate volatility.
• **Valuation leaves limited margin of safety**: Trading at 2.50x book value with only 4.7% upside to target. Rich multiples vulnerable to derating if growth disappoints or asset quality deteriorates from current benign levels.
## VALUATION
Target price of ₹1,820 implies 2.6x FY26E P/B, justified by superior ROE profile and franchise quality. However, current 2.50x book already prices in near-term growth prospects. Maintain HOLD given limited upside; initiate/add on pullback toward 2.0-2.2x book value where risk-reward becomes more attractive. Quality franchise warrants premium valuation, but await better entry point for fresh deployment.
---
*Market Cap: ₹13.2 trillion | Sector: Financial Services*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2026-02-22T12:01:43Z</dcterms:created>
  <dcterms:modified xmlns:dcterms="http://purl.org/dc/terms/" xmlns:xsi="http://www.w3.org/2001/XMLSchema-instance" xsi:type="dcterms:W3CDTF">2026-02-22T12:01:43Z</dcterms:modified>
</cp:coreProperties>
</file>