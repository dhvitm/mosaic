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4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right"/>
    </xf>
    <xf numFmtId="0" fontId="14" fillId="5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Union Bank of India</t>
        </is>
      </c>
    </row>
    <row r="3">
      <c r="A3" s="3" t="inlineStr">
        <is>
          <t>Ticker: UNIONBANK</t>
        </is>
      </c>
    </row>
    <row r="5">
      <c r="A5" s="4" t="inlineStr">
        <is>
          <t>Generated: 22 February 2026 13:25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Rs.148,115 Cr</t>
        </is>
      </c>
    </row>
    <row r="10">
      <c r="A10" t="inlineStr">
        <is>
          <t>Current Price</t>
        </is>
      </c>
      <c r="B10" s="6" t="inlineStr">
        <is>
          <t>Rs.193.98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Rs.216</t>
        </is>
      </c>
    </row>
    <row r="16">
      <c r="A16" t="inlineStr">
        <is>
          <t>Upside</t>
        </is>
      </c>
      <c r="B16" t="inlineStr">
        <is>
          <t>11.1%</t>
        </is>
      </c>
    </row>
    <row r="19">
      <c r="A19" s="5" t="inlineStr">
        <is>
          <t>INVESTMENT THESIS</t>
        </is>
      </c>
    </row>
    <row r="20">
      <c r="A20" s="9" t="inlineStr">
        <is>
          <t>BUY with target price of ₹215.5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11.5</v>
      </c>
      <c r="C5" s="14" t="n">
        <v>12.5</v>
      </c>
      <c r="D5" s="14" t="n">
        <v>13</v>
      </c>
      <c r="E5" s="14" t="n">
        <v>13.5</v>
      </c>
      <c r="F5" s="14" t="n">
        <v>14</v>
      </c>
    </row>
    <row r="6">
      <c r="A6" s="13" t="inlineStr">
        <is>
          <t>Net Interest Margin (%)</t>
        </is>
      </c>
      <c r="B6" s="14" t="n">
        <v>2.8</v>
      </c>
      <c r="C6" s="14" t="n">
        <v>2.85</v>
      </c>
      <c r="D6" s="14" t="n">
        <v>2.9</v>
      </c>
      <c r="E6" s="14" t="n">
        <v>2.95</v>
      </c>
      <c r="F6" s="14" t="n">
        <v>3</v>
      </c>
    </row>
    <row r="7">
      <c r="A7" s="13" t="inlineStr">
        <is>
          <t>Return on Assets (%)</t>
        </is>
      </c>
      <c r="B7" s="14" t="n">
        <v>1.4</v>
      </c>
      <c r="C7" s="14" t="n">
        <v>1.45</v>
      </c>
      <c r="D7" s="14" t="n">
        <v>1.5</v>
      </c>
      <c r="E7" s="14" t="n">
        <v>1.55</v>
      </c>
      <c r="F7" s="14" t="n">
        <v>1.6</v>
      </c>
    </row>
    <row r="8">
      <c r="A8" s="13" t="inlineStr">
        <is>
          <t>Return on Equity (%)</t>
        </is>
      </c>
      <c r="B8" s="14" t="n">
        <v>17.5</v>
      </c>
      <c r="C8" s="14" t="n">
        <v>17.8</v>
      </c>
      <c r="D8" s="14" t="n">
        <v>18.1</v>
      </c>
      <c r="E8" s="14" t="n">
        <v>18.4</v>
      </c>
      <c r="F8" s="14" t="n">
        <v>18.7</v>
      </c>
    </row>
    <row r="9">
      <c r="A9" s="13" t="inlineStr">
        <is>
          <t>CASA Ratio (%)</t>
        </is>
      </c>
      <c r="B9" s="14" t="n">
        <v>35</v>
      </c>
      <c r="C9" s="14" t="n">
        <v>36.5</v>
      </c>
      <c r="D9" s="14" t="n">
        <v>38</v>
      </c>
      <c r="E9" s="14" t="n">
        <v>39.5</v>
      </c>
      <c r="F9" s="14" t="n">
        <v>41</v>
      </c>
    </row>
    <row r="10">
      <c r="A10" s="13" t="inlineStr">
        <is>
          <t>Credit Cost (%)</t>
        </is>
      </c>
      <c r="B10" s="14" t="n">
        <v>0.15</v>
      </c>
      <c r="C10" s="14" t="n">
        <v>0.2</v>
      </c>
      <c r="D10" s="14" t="n">
        <v>0.25</v>
      </c>
      <c r="E10" s="14" t="n">
        <v>0.3</v>
      </c>
      <c r="F10" s="14" t="n">
        <v>0.3</v>
      </c>
    </row>
    <row r="11">
      <c r="A11" s="13" t="inlineStr">
        <is>
          <t>Cost-to-Income (%)</t>
        </is>
      </c>
      <c r="B11" s="14" t="n">
        <v>52</v>
      </c>
      <c r="C11" s="14" t="n">
        <v>51</v>
      </c>
      <c r="D11" s="14" t="n">
        <v>50</v>
      </c>
      <c r="E11" s="14" t="n">
        <v>49</v>
      </c>
      <c r="F11" s="14" t="n">
        <v>48</v>
      </c>
    </row>
    <row r="14">
      <c r="A14" s="5" t="inlineStr">
        <is>
          <t>RATIONALE</t>
        </is>
      </c>
    </row>
    <row r="15">
      <c r="A15" s="9" t="inlineStr">
        <is>
          <t>Union Bank shows strong momentum with improved asset quality (GNPA at 3.06%, PCR at 95.13%) and credit cost at just 0.09%. Loan growth projected at 11.5-14% driven by RAM segment guidance of 11.50% YoY, branch expansion of 200 branches, and retail/MSME focus. NIM expected to gradually improve from 2.76% to 3.00% as CASA ratio improves from current 33.96% to 41% through liability repricing and deposit franchise strengthening. Credit cost normalized to 15-30 bps from unsustainably low 9 bps as one-time recovery benefits taper. Cost-to-income improvement from operational efficiency and scale benefits. Strong capital position (CAR 16.49%, CET-I 13.94%) supports growth without dilution. ROE sustains above 17% with ROA improving to 1.6% as asset quality stabilizes and operating leverage improves. Conservative assumptions reflect PSU bank execution risk despite strong recent performance.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B5" s="15" t="n">
        <v>37479</v>
      </c>
      <c r="C5" s="15" t="n">
        <v>69311</v>
      </c>
      <c r="D5" s="15" t="n">
        <v>68230</v>
      </c>
      <c r="E5" s="15" t="n">
        <v>81163</v>
      </c>
      <c r="F5" s="15" t="n">
        <v>100376</v>
      </c>
      <c r="G5" s="16">
        <f>F5*1.12</f>
        <v/>
      </c>
      <c r="H5" s="16">
        <f>G5*1.12</f>
        <v/>
      </c>
      <c r="I5" s="16">
        <f>H5*1.12</f>
        <v/>
      </c>
      <c r="J5" s="16">
        <f>I5*1.12</f>
        <v/>
      </c>
      <c r="K5" s="16">
        <f>J5*1.12</f>
        <v/>
      </c>
    </row>
    <row r="6">
      <c r="A6" s="13" t="inlineStr">
        <is>
          <t>Interest on Advances</t>
        </is>
      </c>
      <c r="B6" s="15" t="n">
        <v>25837</v>
      </c>
      <c r="C6" s="15" t="n">
        <v>44112</v>
      </c>
      <c r="D6" s="15" t="n">
        <v>40178</v>
      </c>
      <c r="E6" s="15" t="n">
        <v>48033</v>
      </c>
      <c r="F6" s="15" t="n">
        <v>63364</v>
      </c>
      <c r="G6" s="16">
        <f>F6*1.10</f>
        <v/>
      </c>
      <c r="H6" s="16">
        <f>G6*1.10</f>
        <v/>
      </c>
      <c r="I6" s="16">
        <f>H6*1.10</f>
        <v/>
      </c>
      <c r="J6" s="16">
        <f>I6*1.10</f>
        <v/>
      </c>
      <c r="K6" s="16">
        <f>J6*1.10</f>
        <v/>
      </c>
    </row>
    <row r="7">
      <c r="A7" s="13" t="inlineStr">
        <is>
          <t>Income on Investments</t>
        </is>
      </c>
      <c r="G7" s="16">
        <f>F7*1.08</f>
        <v/>
      </c>
      <c r="H7" s="16">
        <f>G7*1.08</f>
        <v/>
      </c>
      <c r="I7" s="16">
        <f>H7*1.08</f>
        <v/>
      </c>
      <c r="J7" s="16">
        <f>I7*1.08</f>
        <v/>
      </c>
      <c r="K7" s="16">
        <f>J7*1.08</f>
        <v/>
      </c>
    </row>
    <row r="8">
      <c r="A8" s="13" t="inlineStr">
        <is>
          <t>Other Income</t>
        </is>
      </c>
      <c r="B8" s="15" t="n">
        <v>5789</v>
      </c>
      <c r="C8" s="15" t="n">
        <v>14307</v>
      </c>
      <c r="D8" s="15" t="n">
        <v>13524</v>
      </c>
      <c r="E8" s="15" t="n">
        <v>15915</v>
      </c>
      <c r="F8" s="15" t="n">
        <v>17813</v>
      </c>
      <c r="G8" s="16">
        <f>F8*1.08</f>
        <v/>
      </c>
      <c r="H8" s="16">
        <f>G8*1.08</f>
        <v/>
      </c>
      <c r="I8" s="16">
        <f>H8*1.08</f>
        <v/>
      </c>
      <c r="J8" s="16">
        <f>I8*1.08</f>
        <v/>
      </c>
      <c r="K8" s="16">
        <f>J8*1.08</f>
        <v/>
      </c>
    </row>
    <row r="9">
      <c r="A9" s="13" t="inlineStr">
        <is>
          <t>Commission &amp; Brokerage</t>
        </is>
      </c>
      <c r="G9" s="16">
        <f>F9*1.10</f>
        <v/>
      </c>
      <c r="H9" s="16">
        <f>G9*1.10</f>
        <v/>
      </c>
      <c r="I9" s="16">
        <f>H9*1.10</f>
        <v/>
      </c>
      <c r="J9" s="16">
        <f>I9*1.10</f>
        <v/>
      </c>
      <c r="K9" s="16">
        <f>J9*1.10</f>
        <v/>
      </c>
    </row>
    <row r="10">
      <c r="A10" s="13" t="inlineStr">
        <is>
          <t>Profit on Investments</t>
        </is>
      </c>
      <c r="G10" s="16">
        <f>F10*1.05</f>
        <v/>
      </c>
      <c r="H10" s="16">
        <f>G10*1.05</f>
        <v/>
      </c>
      <c r="I10" s="16">
        <f>H10*1.05</f>
        <v/>
      </c>
      <c r="J10" s="16">
        <f>I10*1.05</f>
        <v/>
      </c>
      <c r="K10" s="16">
        <f>J10*1.05</f>
        <v/>
      </c>
    </row>
    <row r="11">
      <c r="A11" s="17" t="inlineStr">
        <is>
          <t>Total Income</t>
        </is>
      </c>
      <c r="B11" s="18">
        <f>B5+B8+B9+B10</f>
        <v/>
      </c>
      <c r="C11" s="18">
        <f>C5+C8+C9+C10</f>
        <v/>
      </c>
      <c r="D11" s="18">
        <f>D5+D8+D9+D10</f>
        <v/>
      </c>
      <c r="E11" s="18">
        <f>E5+E8+E9+E10</f>
        <v/>
      </c>
      <c r="F11" s="18">
        <f>F5+F8+F9+F10</f>
        <v/>
      </c>
      <c r="G11" s="19">
        <f>G5+G8+G9+G10</f>
        <v/>
      </c>
      <c r="H11" s="19">
        <f>H5+H8+H9+H10</f>
        <v/>
      </c>
      <c r="I11" s="19">
        <f>I5+I8+I9+I10</f>
        <v/>
      </c>
      <c r="J11" s="19">
        <f>J5+J8+J9+J10</f>
        <v/>
      </c>
      <c r="K11" s="19">
        <f>K5+K8+K9+K10</f>
        <v/>
      </c>
    </row>
    <row r="13">
      <c r="A13" s="13" t="inlineStr">
        <is>
          <t>Interest Expended</t>
        </is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3" t="inlineStr">
        <is>
          <t>Interest on Deposits</t>
        </is>
      </c>
      <c r="G14" s="16">
        <f>F14*1.10</f>
        <v/>
      </c>
      <c r="H14" s="16">
        <f>G14*1.10</f>
        <v/>
      </c>
      <c r="I14" s="16">
        <f>H14*1.10</f>
        <v/>
      </c>
      <c r="J14" s="16">
        <f>I14*1.10</f>
        <v/>
      </c>
      <c r="K14" s="16">
        <f>J14*1.10</f>
        <v/>
      </c>
    </row>
    <row r="15">
      <c r="A15" s="13" t="inlineStr">
        <is>
          <t>Operating Expenses</t>
        </is>
      </c>
      <c r="B15" s="15" t="n">
        <v>21166</v>
      </c>
      <c r="C15" s="15" t="n">
        <v>36270</v>
      </c>
      <c r="D15" s="15" t="n">
        <v>32264</v>
      </c>
      <c r="E15" s="15" t="n">
        <v>36155</v>
      </c>
      <c r="F15" s="15" t="n">
        <v>32422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Employee Cost</t>
        </is>
      </c>
      <c r="B16" s="20" t="n"/>
      <c r="C16" s="20" t="n"/>
      <c r="D16" s="20" t="n"/>
      <c r="E16" s="20" t="n"/>
      <c r="F16" s="20" t="n"/>
      <c r="G16" s="16">
        <f>F16*1.08</f>
        <v/>
      </c>
      <c r="H16" s="16">
        <f>G16*1.08</f>
        <v/>
      </c>
      <c r="I16" s="16">
        <f>H16*1.08</f>
        <v/>
      </c>
      <c r="J16" s="16">
        <f>I16*1.08</f>
        <v/>
      </c>
      <c r="K16" s="16">
        <f>J16*1.08</f>
        <v/>
      </c>
    </row>
    <row r="17">
      <c r="A17" s="13" t="inlineStr">
        <is>
          <t>Depreciation</t>
        </is>
      </c>
      <c r="B17" s="15" t="n">
        <v>417</v>
      </c>
      <c r="C17" s="15" t="n">
        <v>908</v>
      </c>
      <c r="D17" s="15" t="n">
        <v>745</v>
      </c>
      <c r="E17" s="15" t="n">
        <v>745</v>
      </c>
      <c r="F17" s="15" t="n">
        <v>896</v>
      </c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3" t="inlineStr">
        <is>
          <t>Other OpEx</t>
        </is>
      </c>
      <c r="G18" s="16">
        <f>F18*1.08</f>
        <v/>
      </c>
      <c r="H18" s="16">
        <f>G18*1.08</f>
        <v/>
      </c>
      <c r="I18" s="16">
        <f>H18*1.08</f>
        <v/>
      </c>
      <c r="J18" s="16">
        <f>I18*1.08</f>
        <v/>
      </c>
      <c r="K18" s="16">
        <f>J18*1.08</f>
        <v/>
      </c>
    </row>
    <row r="19">
      <c r="A19" s="17" t="inlineStr">
        <is>
          <t>Total Expenses</t>
        </is>
      </c>
      <c r="B19" s="18">
        <f>B13+B15</f>
        <v/>
      </c>
      <c r="C19" s="18">
        <f>C13+C15</f>
        <v/>
      </c>
      <c r="D19" s="18">
        <f>D13+D15</f>
        <v/>
      </c>
      <c r="E19" s="18">
        <f>E13+E15</f>
        <v/>
      </c>
      <c r="F19" s="18">
        <f>F13+F15</f>
        <v/>
      </c>
      <c r="G19" s="19">
        <f>G13+G15</f>
        <v/>
      </c>
      <c r="H19" s="19">
        <f>H13+H15</f>
        <v/>
      </c>
      <c r="I19" s="19">
        <f>I13+I15</f>
        <v/>
      </c>
      <c r="J19" s="19">
        <f>J13+J15</f>
        <v/>
      </c>
      <c r="K19" s="19">
        <f>K13+K15</f>
        <v/>
      </c>
    </row>
    <row r="21">
      <c r="A21" s="13" t="inlineStr">
        <is>
          <t>Provisions &amp; Contingencies</t>
        </is>
      </c>
      <c r="B21" s="20" t="n"/>
      <c r="C21" s="20" t="n"/>
      <c r="D21" s="20" t="n"/>
      <c r="E21" s="20" t="n"/>
      <c r="F21" s="20" t="n"/>
      <c r="G21" s="16">
        <f>F21*1.05</f>
        <v/>
      </c>
      <c r="H21" s="16">
        <f>G21*1.05</f>
        <v/>
      </c>
      <c r="I21" s="16">
        <f>H21*1.05</f>
        <v/>
      </c>
      <c r="J21" s="16">
        <f>I21*1.05</f>
        <v/>
      </c>
      <c r="K21" s="16">
        <f>J21*1.05</f>
        <v/>
      </c>
    </row>
    <row r="22">
      <c r="A22" s="13" t="inlineStr">
        <is>
          <t>Provision for NPA</t>
        </is>
      </c>
      <c r="G22" s="16">
        <f>F22*0.95</f>
        <v/>
      </c>
      <c r="H22" s="16">
        <f>G22*0.95</f>
        <v/>
      </c>
      <c r="I22" s="16">
        <f>H22*0.95</f>
        <v/>
      </c>
      <c r="J22" s="16">
        <f>I22*0.95</f>
        <v/>
      </c>
      <c r="K22" s="16">
        <f>J22*0.95</f>
        <v/>
      </c>
    </row>
    <row r="23">
      <c r="A23" s="13" t="inlineStr">
        <is>
          <t>Provision for Tax</t>
        </is>
      </c>
      <c r="G23" s="16">
        <f>F23*1.10</f>
        <v/>
      </c>
      <c r="H23" s="16">
        <f>G23*1.10</f>
        <v/>
      </c>
      <c r="I23" s="16">
        <f>H23*1.10</f>
        <v/>
      </c>
      <c r="J23" s="16">
        <f>I23*1.10</f>
        <v/>
      </c>
      <c r="K23" s="16">
        <f>J23*1.10</f>
        <v/>
      </c>
    </row>
    <row r="24">
      <c r="A24" s="13" t="inlineStr">
        <is>
          <t>Operating Profit</t>
        </is>
      </c>
      <c r="B24" s="20" t="n"/>
      <c r="C24" s="20" t="n"/>
      <c r="D24" s="20" t="n"/>
      <c r="E24" s="20" t="n"/>
      <c r="F24" s="20" t="n"/>
      <c r="G24" s="16">
        <f>G11-G19</f>
        <v/>
      </c>
      <c r="H24" s="16">
        <f>H11-H19</f>
        <v/>
      </c>
      <c r="I24" s="16">
        <f>I11-I19</f>
        <v/>
      </c>
      <c r="J24" s="16">
        <f>J11-J19</f>
        <v/>
      </c>
      <c r="K24" s="16">
        <f>K11-K19</f>
        <v/>
      </c>
    </row>
    <row r="25">
      <c r="A25" s="17" t="inlineStr">
        <is>
          <t>Profit Before Tax</t>
        </is>
      </c>
      <c r="B25" s="15" t="n">
        <v>-4151</v>
      </c>
      <c r="C25" s="15" t="n">
        <v>2327</v>
      </c>
      <c r="D25" s="15" t="n">
        <v>8566</v>
      </c>
      <c r="E25" s="15" t="n">
        <v>12147</v>
      </c>
      <c r="F25" s="15" t="n">
        <v>21507</v>
      </c>
      <c r="G25" s="19">
        <f>G24-G21</f>
        <v/>
      </c>
      <c r="H25" s="19">
        <f>H24-H21</f>
        <v/>
      </c>
      <c r="I25" s="19">
        <f>I24-I21</f>
        <v/>
      </c>
      <c r="J25" s="19">
        <f>J24-J21</f>
        <v/>
      </c>
      <c r="K25" s="19">
        <f>K24-K21</f>
        <v/>
      </c>
    </row>
    <row r="26">
      <c r="A26" s="13" t="inlineStr">
        <is>
          <t>Tax</t>
        </is>
      </c>
      <c r="B26" s="15" t="n">
        <v>-27</v>
      </c>
      <c r="C26" s="15" t="n">
        <v>-22</v>
      </c>
      <c r="D26" s="15" t="n">
        <v>39</v>
      </c>
      <c r="E26" s="15" t="n">
        <v>31</v>
      </c>
      <c r="F26" s="15" t="n">
        <v>36</v>
      </c>
      <c r="G26" s="16">
        <f>G25*0.25</f>
        <v/>
      </c>
      <c r="H26" s="16">
        <f>H25*0.25</f>
        <v/>
      </c>
      <c r="I26" s="16">
        <f>I25*0.25</f>
        <v/>
      </c>
      <c r="J26" s="16">
        <f>J25*0.25</f>
        <v/>
      </c>
      <c r="K26" s="16">
        <f>K25*0.25</f>
        <v/>
      </c>
    </row>
    <row r="27">
      <c r="A27" s="17" t="inlineStr">
        <is>
          <t>Net Profit</t>
        </is>
      </c>
      <c r="B27" s="15" t="n">
        <v>-3121</v>
      </c>
      <c r="C27" s="15" t="n">
        <v>2863</v>
      </c>
      <c r="D27" s="15" t="n">
        <v>5265</v>
      </c>
      <c r="E27" s="15" t="n">
        <v>8512</v>
      </c>
      <c r="F27" s="15" t="n">
        <v>13797</v>
      </c>
      <c r="G27" s="19">
        <f>G25-G26</f>
        <v/>
      </c>
      <c r="H27" s="19">
        <f>H25-H26</f>
        <v/>
      </c>
      <c r="I27" s="19">
        <f>I25-I26</f>
        <v/>
      </c>
      <c r="J27" s="19">
        <f>J25-J26</f>
        <v/>
      </c>
      <c r="K27" s="19">
        <f>K25-K26</f>
        <v/>
      </c>
    </row>
    <row r="28">
      <c r="A28" s="13" t="inlineStr">
        <is>
          <t>EPS (Rs.)</t>
        </is>
      </c>
      <c r="B28" s="15" t="n">
        <v>-9.119999999999999</v>
      </c>
      <c r="C28" s="15" t="n">
        <v>4.47</v>
      </c>
      <c r="D28" s="15" t="n">
        <v>7.7</v>
      </c>
      <c r="E28" s="15" t="n">
        <v>12.45</v>
      </c>
      <c r="F28" s="15" t="n">
        <v>18.07</v>
      </c>
      <c r="G28" s="16">
        <f>F28*(G27/F27)</f>
        <v/>
      </c>
      <c r="H28" s="16">
        <f>G28*(H27/G27)</f>
        <v/>
      </c>
      <c r="I28" s="16">
        <f>H28*(I27/H27)</f>
        <v/>
      </c>
      <c r="J28" s="16">
        <f>I28*(J27/I27)</f>
        <v/>
      </c>
      <c r="K28" s="16">
        <f>J28*(K27/J27)</f>
        <v/>
      </c>
    </row>
    <row r="29">
      <c r="A29" s="13" t="inlineStr">
        <is>
          <t>Dividend Payout (%)</t>
        </is>
      </c>
      <c r="B29" s="15" t="n">
        <v>0</v>
      </c>
      <c r="C29" s="15" t="n">
        <v>0</v>
      </c>
      <c r="D29" s="15" t="n">
        <v>25</v>
      </c>
      <c r="E29" s="15" t="n">
        <v>24</v>
      </c>
      <c r="F29" s="15" t="n">
        <v>20</v>
      </c>
      <c r="G29" s="16">
        <f>F29</f>
        <v/>
      </c>
      <c r="H29" s="16">
        <f>G29</f>
        <v/>
      </c>
      <c r="I29" s="16">
        <f>H29</f>
        <v/>
      </c>
      <c r="J29" s="16">
        <f>I29</f>
        <v/>
      </c>
      <c r="K29" s="16">
        <f>J29</f>
        <v/>
      </c>
    </row>
    <row r="31">
      <c r="A31" s="21" t="inlineStr">
        <is>
          <t>Net Profit Growth (%)</t>
        </is>
      </c>
      <c r="C31" s="22">
        <f>IF(B27=0,0,(C27/B27-1)*100)</f>
        <v/>
      </c>
      <c r="D31" s="22">
        <f>IF(C27=0,0,(D27/C27-1)*100)</f>
        <v/>
      </c>
      <c r="E31" s="22">
        <f>IF(D27=0,0,(E27/D27-1)*100)</f>
        <v/>
      </c>
      <c r="F31" s="22">
        <f>IF(E27=0,0,(F27/E27-1)*100)</f>
        <v/>
      </c>
      <c r="G31" s="23">
        <f>IF(F27=0,0,(G27/F27-1)*100)</f>
        <v/>
      </c>
      <c r="H31" s="23">
        <f>IF(G27=0,0,(H27/G27-1)*100)</f>
        <v/>
      </c>
      <c r="I31" s="23">
        <f>IF(H27=0,0,(I27/H27-1)*100)</f>
        <v/>
      </c>
      <c r="J31" s="23">
        <f>IF(I27=0,0,(J27/I27-1)*100)</f>
        <v/>
      </c>
      <c r="K31" s="23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LIABILITIES</t>
        </is>
      </c>
      <c r="G5" s="24" t="n"/>
      <c r="H5" s="24" t="n"/>
      <c r="I5" s="24" t="n"/>
      <c r="J5" s="24" t="n"/>
      <c r="K5" s="24" t="n"/>
    </row>
    <row r="6">
      <c r="A6" s="13" t="inlineStr">
        <is>
          <t>Equity Capital</t>
        </is>
      </c>
      <c r="B6" s="15" t="n">
        <v>3423</v>
      </c>
      <c r="C6" s="15" t="n">
        <v>6407</v>
      </c>
      <c r="D6" s="15" t="n">
        <v>6835</v>
      </c>
      <c r="E6" s="15" t="n">
        <v>6835</v>
      </c>
      <c r="F6" s="15" t="n">
        <v>7634</v>
      </c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30567</v>
      </c>
      <c r="C7" s="15" t="n">
        <v>58331</v>
      </c>
      <c r="D7" s="15" t="n">
        <v>64026</v>
      </c>
      <c r="E7" s="15" t="n">
        <v>71969</v>
      </c>
      <c r="F7" s="15" t="n">
        <v>89964</v>
      </c>
      <c r="G7" s="16">
        <f>F7+'P&amp;L'!G27*0.70</f>
        <v/>
      </c>
      <c r="H7" s="16">
        <f>G7+'P&amp;L'!H27*0.70</f>
        <v/>
      </c>
      <c r="I7" s="16">
        <f>H7+'P&amp;L'!I27*0.70</f>
        <v/>
      </c>
      <c r="J7" s="16">
        <f>I7+'P&amp;L'!J27*0.70</f>
        <v/>
      </c>
      <c r="K7" s="16">
        <f>J7+'P&amp;L'!K27*0.70</f>
        <v/>
      </c>
    </row>
    <row r="8">
      <c r="A8" s="17" t="inlineStr">
        <is>
          <t>Total Equity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Deposits</t>
        </is>
      </c>
      <c r="B10" s="15" t="n">
        <v>452436</v>
      </c>
      <c r="C10" s="15" t="n">
        <v>925654</v>
      </c>
      <c r="D10" s="15" t="n">
        <v>1034368</v>
      </c>
      <c r="E10" s="15" t="n">
        <v>1120322</v>
      </c>
      <c r="F10" s="15" t="n">
        <v>1224593</v>
      </c>
      <c r="G10" s="16">
        <f>F10*1.12</f>
        <v/>
      </c>
      <c r="H10" s="16">
        <f>G10*1.12</f>
        <v/>
      </c>
      <c r="I10" s="16">
        <f>H10*1.12</f>
        <v/>
      </c>
      <c r="J10" s="16">
        <f>I10*1.12</f>
        <v/>
      </c>
      <c r="K10" s="16">
        <f>J10*1.12</f>
        <v/>
      </c>
    </row>
    <row r="11">
      <c r="A11" s="13" t="inlineStr">
        <is>
          <t>CASA Deposits</t>
        </is>
      </c>
      <c r="B11" s="20" t="n"/>
      <c r="C11" s="20" t="n"/>
      <c r="D11" s="20" t="n"/>
      <c r="E11" s="20" t="n"/>
      <c r="F11" s="20" t="n"/>
      <c r="G11" s="16">
        <f>F11*1.14</f>
        <v/>
      </c>
      <c r="H11" s="16">
        <f>G11*1.14</f>
        <v/>
      </c>
      <c r="I11" s="16">
        <f>H11*1.14</f>
        <v/>
      </c>
      <c r="J11" s="16">
        <f>I11*1.14</f>
        <v/>
      </c>
      <c r="K11" s="16">
        <f>J11*1.14</f>
        <v/>
      </c>
    </row>
    <row r="12">
      <c r="A12" s="13" t="inlineStr">
        <is>
          <t>Borrowings</t>
        </is>
      </c>
      <c r="B12" s="15" t="n">
        <v>52714</v>
      </c>
      <c r="C12" s="15" t="n">
        <v>51922</v>
      </c>
      <c r="D12" s="15" t="n">
        <v>51245</v>
      </c>
      <c r="E12" s="15" t="n">
        <v>42737</v>
      </c>
      <c r="F12" s="15" t="n">
        <v>26974</v>
      </c>
      <c r="G12" s="16">
        <f>F12*1.08</f>
        <v/>
      </c>
      <c r="H12" s="16">
        <f>G12*1.08</f>
        <v/>
      </c>
      <c r="I12" s="16">
        <f>H12*1.08</f>
        <v/>
      </c>
      <c r="J12" s="16">
        <f>I12*1.08</f>
        <v/>
      </c>
      <c r="K12" s="16">
        <f>J12*1.08</f>
        <v/>
      </c>
    </row>
    <row r="13">
      <c r="A13" s="13" t="inlineStr">
        <is>
          <t>Other Liabilities</t>
        </is>
      </c>
      <c r="B13" s="15" t="n">
        <v>16369</v>
      </c>
      <c r="C13" s="15" t="n">
        <v>40063</v>
      </c>
      <c r="D13" s="15" t="n">
        <v>37292</v>
      </c>
      <c r="E13" s="15" t="n">
        <v>46495</v>
      </c>
      <c r="F13" s="15" t="n">
        <v>52831</v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7" t="inlineStr">
        <is>
          <t>Total Liabilities</t>
        </is>
      </c>
      <c r="B14" s="15" t="n">
        <v>555509</v>
      </c>
      <c r="C14" s="15" t="n">
        <v>1082377</v>
      </c>
      <c r="D14" s="15" t="n">
        <v>1193766</v>
      </c>
      <c r="E14" s="15" t="n">
        <v>1288357</v>
      </c>
      <c r="F14" s="15" t="n">
        <v>1401996</v>
      </c>
      <c r="G14" s="19">
        <f>G8+G10+G12+G13</f>
        <v/>
      </c>
      <c r="H14" s="19">
        <f>H8+H10+H12+H13</f>
        <v/>
      </c>
      <c r="I14" s="19">
        <f>I8+I10+I12+I13</f>
        <v/>
      </c>
      <c r="J14" s="19">
        <f>J8+J10+J12+J13</f>
        <v/>
      </c>
      <c r="K14" s="19">
        <f>K8+K10+K12+K13</f>
        <v/>
      </c>
    </row>
    <row r="16">
      <c r="A16" s="17" t="inlineStr">
        <is>
          <t>ASSETS</t>
        </is>
      </c>
      <c r="G16" s="24" t="n"/>
      <c r="H16" s="24" t="n"/>
      <c r="I16" s="24" t="n"/>
      <c r="J16" s="24" t="n"/>
      <c r="K16" s="24" t="n"/>
    </row>
    <row r="17">
      <c r="A17" s="13" t="inlineStr">
        <is>
          <t>Cash &amp; Bank Balances</t>
        </is>
      </c>
      <c r="B17" s="20" t="n"/>
      <c r="C17" s="20" t="n"/>
      <c r="D17" s="20" t="n"/>
      <c r="E17" s="20" t="n"/>
      <c r="F17" s="20" t="n"/>
      <c r="G17" s="16">
        <f>F17*1.08</f>
        <v/>
      </c>
      <c r="H17" s="16">
        <f>G17*1.08</f>
        <v/>
      </c>
      <c r="I17" s="16">
        <f>H17*1.08</f>
        <v/>
      </c>
      <c r="J17" s="16">
        <f>I17*1.08</f>
        <v/>
      </c>
      <c r="K17" s="16">
        <f>J17*1.08</f>
        <v/>
      </c>
    </row>
    <row r="18">
      <c r="A18" s="13" t="inlineStr">
        <is>
          <t>Fixed Assets</t>
        </is>
      </c>
      <c r="B18" s="15" t="n">
        <v>4734</v>
      </c>
      <c r="C18" s="15" t="n">
        <v>7303</v>
      </c>
      <c r="D18" s="15" t="n">
        <v>7171</v>
      </c>
      <c r="E18" s="15" t="n">
        <v>8826</v>
      </c>
      <c r="F18" s="15" t="n">
        <v>9224</v>
      </c>
      <c r="G18" s="16">
        <f>F18*1.05</f>
        <v/>
      </c>
      <c r="H18" s="16">
        <f>G18*1.05</f>
        <v/>
      </c>
      <c r="I18" s="16">
        <f>H18*1.05</f>
        <v/>
      </c>
      <c r="J18" s="16">
        <f>I18*1.05</f>
        <v/>
      </c>
      <c r="K18" s="16">
        <f>J18*1.05</f>
        <v/>
      </c>
    </row>
    <row r="19">
      <c r="A19" s="13" t="inlineStr">
        <is>
          <t>CWIP</t>
        </is>
      </c>
      <c r="B19" s="15" t="n">
        <v>54</v>
      </c>
      <c r="C19" s="15" t="n">
        <v>63</v>
      </c>
      <c r="D19" s="15" t="n">
        <v>37</v>
      </c>
      <c r="E19" s="15" t="n">
        <v>22</v>
      </c>
      <c r="F19" s="15" t="n">
        <v>36</v>
      </c>
      <c r="G19" s="16">
        <f>F19*1.02</f>
        <v/>
      </c>
      <c r="H19" s="16">
        <f>G19*1.02</f>
        <v/>
      </c>
      <c r="I19" s="16">
        <f>H19*1.02</f>
        <v/>
      </c>
      <c r="J19" s="16">
        <f>I19*1.02</f>
        <v/>
      </c>
      <c r="K19" s="16">
        <f>J19*1.02</f>
        <v/>
      </c>
    </row>
    <row r="20">
      <c r="A20" s="13" t="inlineStr">
        <is>
          <t>Investments</t>
        </is>
      </c>
      <c r="B20" s="15" t="n">
        <v>154251</v>
      </c>
      <c r="C20" s="15" t="n">
        <v>339059</v>
      </c>
      <c r="D20" s="15" t="n">
        <v>351839</v>
      </c>
      <c r="E20" s="15" t="n">
        <v>343727</v>
      </c>
      <c r="F20" s="15" t="n">
        <v>343953</v>
      </c>
      <c r="G20" s="16">
        <f>F20*1.10</f>
        <v/>
      </c>
      <c r="H20" s="16">
        <f>G20*1.10</f>
        <v/>
      </c>
      <c r="I20" s="16">
        <f>H20*1.10</f>
        <v/>
      </c>
      <c r="J20" s="16">
        <f>I20*1.10</f>
        <v/>
      </c>
      <c r="K20" s="16">
        <f>J20*1.10</f>
        <v/>
      </c>
    </row>
    <row r="21">
      <c r="A21" s="13" t="inlineStr">
        <is>
          <t>Advances</t>
        </is>
      </c>
      <c r="B21" s="20" t="n"/>
      <c r="C21" s="20" t="n"/>
      <c r="D21" s="20" t="n"/>
      <c r="E21" s="20" t="n"/>
      <c r="F21" s="20" t="n"/>
      <c r="G21" s="16">
        <f>F21*(1+Assumptions!$B$5/100)</f>
        <v/>
      </c>
      <c r="H21" s="16">
        <f>G21*(1+Assumptions!$C$5/100)</f>
        <v/>
      </c>
      <c r="I21" s="16">
        <f>H21*(1+Assumptions!$D$5/100)</f>
        <v/>
      </c>
      <c r="J21" s="16">
        <f>I21*(1+Assumptions!$E$5/100)</f>
        <v/>
      </c>
      <c r="K21" s="16">
        <f>J21*(1+Assumptions!$F$5/100)</f>
        <v/>
      </c>
    </row>
    <row r="22">
      <c r="A22" s="13" t="inlineStr">
        <is>
          <t>Other Assets</t>
        </is>
      </c>
      <c r="B22" s="15" t="n">
        <v>396470</v>
      </c>
      <c r="C22" s="15" t="n">
        <v>735952</v>
      </c>
      <c r="D22" s="15" t="n">
        <v>834718</v>
      </c>
      <c r="E22" s="15" t="n">
        <v>935782</v>
      </c>
      <c r="F22" s="15" t="n">
        <v>1048783</v>
      </c>
      <c r="G22" s="16">
        <f>F22*1.08</f>
        <v/>
      </c>
      <c r="H22" s="16">
        <f>G22*1.08</f>
        <v/>
      </c>
      <c r="I22" s="16">
        <f>H22*1.08</f>
        <v/>
      </c>
      <c r="J22" s="16">
        <f>I22*1.08</f>
        <v/>
      </c>
      <c r="K22" s="16">
        <f>J22*1.08</f>
        <v/>
      </c>
    </row>
    <row r="23">
      <c r="A23" s="17" t="inlineStr">
        <is>
          <t>Total Assets</t>
        </is>
      </c>
      <c r="B23" s="15" t="n">
        <v>555509</v>
      </c>
      <c r="C23" s="15" t="n">
        <v>1082377</v>
      </c>
      <c r="D23" s="15" t="n">
        <v>1193766</v>
      </c>
      <c r="E23" s="15" t="n">
        <v>1288357</v>
      </c>
      <c r="F23" s="15" t="n">
        <v>1401996</v>
      </c>
      <c r="G23" s="19">
        <f>G14</f>
        <v/>
      </c>
      <c r="H23" s="19">
        <f>H14</f>
        <v/>
      </c>
      <c r="I23" s="19">
        <f>I14</f>
        <v/>
      </c>
      <c r="J23" s="19">
        <f>J14</f>
        <v/>
      </c>
      <c r="K23" s="19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5" t="inlineStr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5" t="inlineStr">
        <is>
          <t>PROFITABILITY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>
      <c r="A7" s="13" t="inlineStr">
        <is>
          <t>Net Profit (PAT)</t>
        </is>
      </c>
      <c r="B7" s="24">
        <f>'P&amp;L'!B27</f>
        <v/>
      </c>
      <c r="C7" s="24">
        <f>'P&amp;L'!C27</f>
        <v/>
      </c>
      <c r="D7" s="24">
        <f>'P&amp;L'!D27</f>
        <v/>
      </c>
      <c r="E7" s="24">
        <f>'P&amp;L'!E27</f>
        <v/>
      </c>
      <c r="F7" s="24">
        <f>'P&amp;L'!F27</f>
        <v/>
      </c>
      <c r="G7" s="27">
        <f>'P&amp;L'!G27</f>
        <v/>
      </c>
      <c r="H7" s="27">
        <f>'P&amp;L'!H27</f>
        <v/>
      </c>
      <c r="I7" s="27">
        <f>'P&amp;L'!I27</f>
        <v/>
      </c>
      <c r="J7" s="27">
        <f>'P&amp;L'!J27</f>
        <v/>
      </c>
      <c r="K7" s="27">
        <f>'P&amp;L'!K27</f>
        <v/>
      </c>
    </row>
    <row r="8">
      <c r="A8" s="13" t="inlineStr">
        <is>
          <t>Revenue</t>
        </is>
      </c>
      <c r="B8" s="24">
        <f>'P&amp;L'!B5</f>
        <v/>
      </c>
      <c r="C8" s="24">
        <f>'P&amp;L'!C5</f>
        <v/>
      </c>
      <c r="D8" s="24">
        <f>'P&amp;L'!D5</f>
        <v/>
      </c>
      <c r="E8" s="24">
        <f>'P&amp;L'!E5</f>
        <v/>
      </c>
      <c r="F8" s="24">
        <f>'P&amp;L'!F5</f>
        <v/>
      </c>
      <c r="G8" s="27">
        <f>'P&amp;L'!G5</f>
        <v/>
      </c>
      <c r="H8" s="27">
        <f>'P&amp;L'!H5</f>
        <v/>
      </c>
      <c r="I8" s="27">
        <f>'P&amp;L'!I5</f>
        <v/>
      </c>
      <c r="J8" s="27">
        <f>'P&amp;L'!J5</f>
        <v/>
      </c>
      <c r="K8" s="27">
        <f>'P&amp;L'!K5</f>
        <v/>
      </c>
    </row>
    <row r="9">
      <c r="A9" s="13" t="inlineStr">
        <is>
          <t>Net Profit Margin (%)</t>
        </is>
      </c>
      <c r="B9" s="28">
        <f>IF(B8=0,0,B7/B8*100)</f>
        <v/>
      </c>
      <c r="C9" s="28">
        <f>IF(C8=0,0,C7/C8*100)</f>
        <v/>
      </c>
      <c r="D9" s="28">
        <f>IF(D8=0,0,D7/D8*100)</f>
        <v/>
      </c>
      <c r="E9" s="28">
        <f>IF(E8=0,0,E7/E8*100)</f>
        <v/>
      </c>
      <c r="F9" s="28">
        <f>IF(F8=0,0,F7/F8*100)</f>
        <v/>
      </c>
      <c r="G9" s="29">
        <f>IF(G8=0,0,G7/G8*100)</f>
        <v/>
      </c>
      <c r="H9" s="29">
        <f>IF(H8=0,0,H7/H8*100)</f>
        <v/>
      </c>
      <c r="I9" s="29">
        <f>IF(I8=0,0,I7/I8*100)</f>
        <v/>
      </c>
      <c r="J9" s="29">
        <f>IF(J8=0,0,J7/J8*100)</f>
        <v/>
      </c>
      <c r="K9" s="29">
        <f>IF(K8=0,0,K7/K8*100)</f>
        <v/>
      </c>
    </row>
    <row r="11">
      <c r="A11" s="25" t="inlineStr">
        <is>
          <t>EFFICIENCY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inlineStr">
        <is>
          <t>Revenue</t>
        </is>
      </c>
      <c r="B12" s="24">
        <f>'P&amp;L'!B5</f>
        <v/>
      </c>
      <c r="C12" s="24">
        <f>'P&amp;L'!C5</f>
        <v/>
      </c>
      <c r="D12" s="24">
        <f>'P&amp;L'!D5</f>
        <v/>
      </c>
      <c r="E12" s="24">
        <f>'P&amp;L'!E5</f>
        <v/>
      </c>
      <c r="F12" s="24">
        <f>'P&amp;L'!F5</f>
        <v/>
      </c>
      <c r="G12" s="27">
        <f>'P&amp;L'!G5</f>
        <v/>
      </c>
      <c r="H12" s="27">
        <f>'P&amp;L'!H5</f>
        <v/>
      </c>
      <c r="I12" s="27">
        <f>'P&amp;L'!I5</f>
        <v/>
      </c>
      <c r="J12" s="27">
        <f>'P&amp;L'!J5</f>
        <v/>
      </c>
      <c r="K12" s="27">
        <f>'P&amp;L'!K5</f>
        <v/>
      </c>
    </row>
    <row r="13">
      <c r="A13" s="13" t="inlineStr">
        <is>
          <t>Average Total Assets</t>
        </is>
      </c>
      <c r="B13" s="24">
        <f>'Balance Sheet'!B23</f>
        <v/>
      </c>
      <c r="C13" s="24">
        <f>('Balance Sheet'!C23+'Balance Sheet'!B23)/2</f>
        <v/>
      </c>
      <c r="D13" s="24">
        <f>('Balance Sheet'!D23+'Balance Sheet'!C23)/2</f>
        <v/>
      </c>
      <c r="E13" s="24">
        <f>('Balance Sheet'!E23+'Balance Sheet'!D23)/2</f>
        <v/>
      </c>
      <c r="F13" s="24">
        <f>('Balance Sheet'!F23+'Balance Sheet'!E23)/2</f>
        <v/>
      </c>
      <c r="G13" s="27">
        <f>('Balance Sheet'!G23+'Balance Sheet'!F23)/2</f>
        <v/>
      </c>
      <c r="H13" s="27">
        <f>('Balance Sheet'!H23+'Balance Sheet'!G23)/2</f>
        <v/>
      </c>
      <c r="I13" s="27">
        <f>('Balance Sheet'!I23+'Balance Sheet'!H23)/2</f>
        <v/>
      </c>
      <c r="J13" s="27">
        <f>('Balance Sheet'!J23+'Balance Sheet'!I23)/2</f>
        <v/>
      </c>
      <c r="K13" s="27">
        <f>('Balance Sheet'!K23+'Balance Sheet'!J23)/2</f>
        <v/>
      </c>
    </row>
    <row r="14">
      <c r="A14" s="13" t="inlineStr">
        <is>
          <t>Asset Turnover (x)</t>
        </is>
      </c>
      <c r="B14" s="28">
        <f>IF(B13=0,0,B12/B13)</f>
        <v/>
      </c>
      <c r="C14" s="28">
        <f>IF(C13=0,0,C12/C13)</f>
        <v/>
      </c>
      <c r="D14" s="28">
        <f>IF(D13=0,0,D12/D13)</f>
        <v/>
      </c>
      <c r="E14" s="28">
        <f>IF(E13=0,0,E12/E13)</f>
        <v/>
      </c>
      <c r="F14" s="28">
        <f>IF(F13=0,0,F12/F13)</f>
        <v/>
      </c>
      <c r="G14" s="29">
        <f>IF(G13=0,0,G12/G13)</f>
        <v/>
      </c>
      <c r="H14" s="29">
        <f>IF(H13=0,0,H12/H13)</f>
        <v/>
      </c>
      <c r="I14" s="29">
        <f>IF(I13=0,0,I12/I13)</f>
        <v/>
      </c>
      <c r="J14" s="29">
        <f>IF(J13=0,0,J12/J13)</f>
        <v/>
      </c>
      <c r="K14" s="29">
        <f>IF(K13=0,0,K12/K13)</f>
        <v/>
      </c>
    </row>
    <row r="16">
      <c r="A16" s="25" t="inlineStr">
        <is>
          <t>LEVERAGE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inlineStr">
        <is>
          <t>Average Total Assets</t>
        </is>
      </c>
      <c r="B17" s="24">
        <f>'Balance Sheet'!B23</f>
        <v/>
      </c>
      <c r="C17" s="24">
        <f>('Balance Sheet'!C23+'Balance Sheet'!B23)/2</f>
        <v/>
      </c>
      <c r="D17" s="24">
        <f>('Balance Sheet'!D23+'Balance Sheet'!C23)/2</f>
        <v/>
      </c>
      <c r="E17" s="24">
        <f>('Balance Sheet'!E23+'Balance Sheet'!D23)/2</f>
        <v/>
      </c>
      <c r="F17" s="24">
        <f>('Balance Sheet'!F23+'Balance Sheet'!E23)/2</f>
        <v/>
      </c>
      <c r="G17" s="27">
        <f>('Balance Sheet'!G23+'Balance Sheet'!F23)/2</f>
        <v/>
      </c>
      <c r="H17" s="27">
        <f>('Balance Sheet'!H23+'Balance Sheet'!G23)/2</f>
        <v/>
      </c>
      <c r="I17" s="27">
        <f>('Balance Sheet'!I23+'Balance Sheet'!H23)/2</f>
        <v/>
      </c>
      <c r="J17" s="27">
        <f>('Balance Sheet'!J23+'Balance Sheet'!I23)/2</f>
        <v/>
      </c>
      <c r="K17" s="27">
        <f>('Balance Sheet'!K23+'Balance Sheet'!J23)/2</f>
        <v/>
      </c>
    </row>
    <row r="18">
      <c r="A18" s="13" t="inlineStr">
        <is>
          <t>Average Equity</t>
        </is>
      </c>
      <c r="B18" s="24">
        <f>'Balance Sheet'!B8</f>
        <v/>
      </c>
      <c r="C18" s="24">
        <f>('Balance Sheet'!C8+'Balance Sheet'!B8)/2</f>
        <v/>
      </c>
      <c r="D18" s="24">
        <f>('Balance Sheet'!D8+'Balance Sheet'!C8)/2</f>
        <v/>
      </c>
      <c r="E18" s="24">
        <f>('Balance Sheet'!E8+'Balance Sheet'!D8)/2</f>
        <v/>
      </c>
      <c r="F18" s="24">
        <f>('Balance Sheet'!F8+'Balance Sheet'!E8)/2</f>
        <v/>
      </c>
      <c r="G18" s="27">
        <f>('Balance Sheet'!G8+'Balance Sheet'!F8)/2</f>
        <v/>
      </c>
      <c r="H18" s="27">
        <f>('Balance Sheet'!H8+'Balance Sheet'!G8)/2</f>
        <v/>
      </c>
      <c r="I18" s="27">
        <f>('Balance Sheet'!I8+'Balance Sheet'!H8)/2</f>
        <v/>
      </c>
      <c r="J18" s="27">
        <f>('Balance Sheet'!J8+'Balance Sheet'!I8)/2</f>
        <v/>
      </c>
      <c r="K18" s="27">
        <f>('Balance Sheet'!K8+'Balance Sheet'!J8)/2</f>
        <v/>
      </c>
    </row>
    <row r="19">
      <c r="A19" s="13" t="inlineStr">
        <is>
          <t>Equity Multiplier (x)</t>
        </is>
      </c>
      <c r="B19" s="28">
        <f>IF(B18=0,0,B17/B18)</f>
        <v/>
      </c>
      <c r="C19" s="28">
        <f>IF(C18=0,0,C17/C18)</f>
        <v/>
      </c>
      <c r="D19" s="28">
        <f>IF(D18=0,0,D17/D18)</f>
        <v/>
      </c>
      <c r="E19" s="28">
        <f>IF(E18=0,0,E17/E18)</f>
        <v/>
      </c>
      <c r="F19" s="28">
        <f>IF(F18=0,0,F17/F18)</f>
        <v/>
      </c>
      <c r="G19" s="29">
        <f>IF(G18=0,0,G17/G18)</f>
        <v/>
      </c>
      <c r="H19" s="29">
        <f>IF(H18=0,0,H17/H18)</f>
        <v/>
      </c>
      <c r="I19" s="29">
        <f>IF(I18=0,0,I17/I18)</f>
        <v/>
      </c>
      <c r="J19" s="29">
        <f>IF(J18=0,0,J17/J18)</f>
        <v/>
      </c>
      <c r="K19" s="29">
        <f>IF(K18=0,0,K17/K18)</f>
        <v/>
      </c>
    </row>
    <row r="21">
      <c r="A21" s="25" t="inlineStr">
        <is>
          <t>ROE CALCULATION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</row>
    <row r="22">
      <c r="A22" s="13" t="inlineStr">
        <is>
          <t>ROE (%)</t>
        </is>
      </c>
      <c r="B22" s="30">
        <f>IF(B18=0,0,B7/B18*100)</f>
        <v/>
      </c>
      <c r="C22" s="30">
        <f>IF(C18=0,0,C7/C18*100)</f>
        <v/>
      </c>
      <c r="D22" s="30">
        <f>IF(D18=0,0,D7/D18*100)</f>
        <v/>
      </c>
      <c r="E22" s="30">
        <f>IF(E18=0,0,E7/E18*100)</f>
        <v/>
      </c>
      <c r="F22" s="30">
        <f>IF(F18=0,0,F7/F18*100)</f>
        <v/>
      </c>
      <c r="G22" s="31">
        <f>IF(G18=0,0,G7/G18*100)</f>
        <v/>
      </c>
      <c r="H22" s="31">
        <f>IF(H18=0,0,H7/H18*100)</f>
        <v/>
      </c>
      <c r="I22" s="31">
        <f>IF(I18=0,0,I7/I18*100)</f>
        <v/>
      </c>
      <c r="J22" s="31">
        <f>IF(J18=0,0,J7/J18*100)</f>
        <v/>
      </c>
      <c r="K22" s="31">
        <f>IF(K18=0,0,K7/K18*100)</f>
        <v/>
      </c>
    </row>
    <row r="23">
      <c r="A23" s="13" t="inlineStr">
        <is>
          <t>ROE Check: NPM x AT x EM (%)</t>
        </is>
      </c>
      <c r="B23" s="32">
        <f>B9/100*B14*B19*100</f>
        <v/>
      </c>
      <c r="C23" s="32">
        <f>C9/100*C14*C19*100</f>
        <v/>
      </c>
      <c r="D23" s="32">
        <f>D9/100*D14*D19*100</f>
        <v/>
      </c>
      <c r="E23" s="32">
        <f>E9/100*E14*E19*100</f>
        <v/>
      </c>
      <c r="F23" s="32">
        <f>F9/100*F14*F19*100</f>
        <v/>
      </c>
      <c r="G23" s="33">
        <f>G9/100*G14*G19*100</f>
        <v/>
      </c>
      <c r="H23" s="33">
        <f>H9/100*H14*H19*100</f>
        <v/>
      </c>
      <c r="I23" s="33">
        <f>I9/100*I14*I19*100</f>
        <v/>
      </c>
      <c r="J23" s="33">
        <f>J9/100*J14*J19*100</f>
        <v/>
      </c>
      <c r="K23" s="33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24732</v>
      </c>
      <c r="C4" s="15" t="n">
        <v>26887</v>
      </c>
      <c r="D4" s="15" t="n">
        <v>26205</v>
      </c>
      <c r="E4" s="15" t="n">
        <v>22163</v>
      </c>
      <c r="F4" s="15" t="n">
        <v>26510</v>
      </c>
      <c r="G4" s="15" t="n">
        <v>27869</v>
      </c>
      <c r="H4" s="15" t="n">
        <v>20966</v>
      </c>
      <c r="I4" s="15" t="n">
        <v>25521</v>
      </c>
      <c r="J4" s="15" t="n">
        <v>26720</v>
      </c>
      <c r="K4" s="15" t="n">
        <v>23613</v>
      </c>
      <c r="L4" s="15" t="n">
        <v>26527</v>
      </c>
      <c r="M4" s="15" t="n">
        <v>27475</v>
      </c>
    </row>
    <row r="5">
      <c r="A5" s="13" t="inlineStr">
        <is>
          <t>Interest</t>
        </is>
      </c>
      <c r="B5" s="15" t="n">
        <v>15498</v>
      </c>
      <c r="C5" s="15" t="n">
        <v>17720</v>
      </c>
      <c r="D5" s="15" t="n">
        <v>17247</v>
      </c>
      <c r="E5" s="15" t="n">
        <v>13810</v>
      </c>
      <c r="F5" s="15" t="n">
        <v>16966</v>
      </c>
      <c r="G5" s="15" t="n">
        <v>18245</v>
      </c>
      <c r="H5" s="15" t="n">
        <v>12242</v>
      </c>
      <c r="I5" s="15" t="n">
        <v>16236</v>
      </c>
      <c r="J5" s="15" t="n">
        <v>17350</v>
      </c>
      <c r="K5" s="15" t="n">
        <v>14664</v>
      </c>
      <c r="L5" s="15" t="n">
        <v>17004</v>
      </c>
      <c r="M5" s="15" t="n">
        <v>18231</v>
      </c>
    </row>
    <row r="6">
      <c r="A6" s="13" t="inlineStr">
        <is>
          <t>Expenses +</t>
        </is>
      </c>
      <c r="B6" s="15" t="n">
        <v>7962</v>
      </c>
      <c r="C6" s="15" t="n">
        <v>8686</v>
      </c>
      <c r="D6" s="15" t="n">
        <v>9056</v>
      </c>
      <c r="E6" s="15" t="n">
        <v>10041</v>
      </c>
      <c r="F6" s="15" t="n">
        <v>9365</v>
      </c>
      <c r="G6" s="15" t="n">
        <v>9673</v>
      </c>
      <c r="H6" s="15" t="n">
        <v>8817</v>
      </c>
      <c r="I6" s="15" t="n">
        <v>8012</v>
      </c>
      <c r="J6" s="15" t="n">
        <v>8096</v>
      </c>
      <c r="K6" s="15" t="n">
        <v>7978</v>
      </c>
      <c r="L6" s="15" t="n">
        <v>9367</v>
      </c>
      <c r="M6" s="15" t="n">
        <v>8844</v>
      </c>
    </row>
    <row r="7">
      <c r="A7" s="13" t="inlineStr">
        <is>
          <t>Financing Profit</t>
        </is>
      </c>
      <c r="B7" s="15" t="n">
        <v>1271</v>
      </c>
      <c r="C7" s="15" t="n">
        <v>480</v>
      </c>
      <c r="D7" s="15" t="n">
        <v>-98</v>
      </c>
      <c r="E7" s="15" t="n">
        <v>-1688</v>
      </c>
      <c r="F7" s="15" t="n">
        <v>179</v>
      </c>
      <c r="G7" s="15" t="n">
        <v>-49</v>
      </c>
      <c r="H7" s="15" t="n">
        <v>-93</v>
      </c>
      <c r="I7" s="15" t="n">
        <v>1273</v>
      </c>
      <c r="J7" s="15" t="n">
        <v>1274</v>
      </c>
      <c r="K7" s="15" t="n">
        <v>971</v>
      </c>
      <c r="L7" s="15" t="n">
        <v>156</v>
      </c>
      <c r="M7" s="15" t="n">
        <v>400</v>
      </c>
    </row>
    <row r="8">
      <c r="A8" s="13" t="inlineStr">
        <is>
          <t>Financing Margin %</t>
        </is>
      </c>
      <c r="B8" s="15" t="n">
        <v>5</v>
      </c>
      <c r="C8" s="15" t="n">
        <v>2</v>
      </c>
      <c r="D8" s="15" t="n">
        <v>-0</v>
      </c>
      <c r="E8" s="15" t="n">
        <v>-8</v>
      </c>
      <c r="F8" s="15" t="n">
        <v>1</v>
      </c>
      <c r="G8" s="15" t="n">
        <v>-0</v>
      </c>
      <c r="H8" s="15" t="n">
        <v>-0</v>
      </c>
      <c r="I8" s="15" t="n">
        <v>5</v>
      </c>
      <c r="J8" s="15" t="n">
        <v>5</v>
      </c>
      <c r="K8" s="15" t="n">
        <v>4</v>
      </c>
      <c r="L8" s="15" t="n">
        <v>1</v>
      </c>
      <c r="M8" s="15" t="n">
        <v>1</v>
      </c>
    </row>
    <row r="9">
      <c r="A9" s="13" t="inlineStr">
        <is>
          <t>Other Income +</t>
        </is>
      </c>
      <c r="B9" s="15" t="n">
        <v>4221</v>
      </c>
      <c r="C9" s="15" t="n">
        <v>5926</v>
      </c>
      <c r="D9" s="15" t="n">
        <v>5550</v>
      </c>
      <c r="E9" s="15" t="n">
        <v>5601</v>
      </c>
      <c r="F9" s="15" t="n">
        <v>5102</v>
      </c>
      <c r="G9" s="15" t="n">
        <v>6223</v>
      </c>
      <c r="H9" s="15" t="n">
        <v>3669</v>
      </c>
      <c r="I9" s="15" t="n">
        <v>4281</v>
      </c>
      <c r="J9" s="15" t="n">
        <v>4614</v>
      </c>
      <c r="K9" s="15" t="n">
        <v>4209</v>
      </c>
      <c r="L9" s="15" t="n">
        <v>4799</v>
      </c>
      <c r="M9" s="15" t="n">
        <v>4869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5492</v>
      </c>
      <c r="C11" s="15" t="n">
        <v>6406</v>
      </c>
      <c r="D11" s="15" t="n">
        <v>5453</v>
      </c>
      <c r="E11" s="15" t="n">
        <v>3912</v>
      </c>
      <c r="F11" s="15" t="n">
        <v>5281</v>
      </c>
      <c r="G11" s="15" t="n">
        <v>6175</v>
      </c>
      <c r="H11" s="15" t="n">
        <v>3576</v>
      </c>
      <c r="I11" s="15" t="n">
        <v>5554</v>
      </c>
      <c r="J11" s="15" t="n">
        <v>5889</v>
      </c>
      <c r="K11" s="15" t="n">
        <v>5180</v>
      </c>
      <c r="L11" s="15" t="n">
        <v>4954</v>
      </c>
      <c r="M11" s="15" t="n">
        <v>5269</v>
      </c>
    </row>
    <row r="12">
      <c r="A12" s="13" t="inlineStr">
        <is>
          <t>Tax %</t>
        </is>
      </c>
      <c r="B12" s="15" t="n">
        <v>35</v>
      </c>
      <c r="C12" s="15" t="n">
        <v>26</v>
      </c>
      <c r="D12" s="15" t="n">
        <v>21</v>
      </c>
      <c r="E12" s="15" t="n">
        <v>28</v>
      </c>
      <c r="F12" s="15" t="n">
        <v>37</v>
      </c>
      <c r="G12" s="15" t="n">
        <v>19</v>
      </c>
      <c r="H12" s="15" t="n">
        <v>37</v>
      </c>
      <c r="I12" s="15" t="n">
        <v>35</v>
      </c>
      <c r="J12" s="15" t="n">
        <v>22</v>
      </c>
      <c r="K12" s="15" t="n">
        <v>37</v>
      </c>
      <c r="L12" s="15" t="n">
        <v>27</v>
      </c>
      <c r="M12" s="15" t="n">
        <v>21</v>
      </c>
    </row>
    <row r="13">
      <c r="A13" s="13" t="inlineStr">
        <is>
          <t>Net Profit +</t>
        </is>
      </c>
      <c r="B13" s="15" t="n">
        <v>3572</v>
      </c>
      <c r="C13" s="15" t="n">
        <v>4751</v>
      </c>
      <c r="D13" s="15" t="n">
        <v>4426</v>
      </c>
      <c r="E13" s="15" t="n">
        <v>2812</v>
      </c>
      <c r="F13" s="15" t="n">
        <v>3328</v>
      </c>
      <c r="G13" s="15" t="n">
        <v>5011</v>
      </c>
      <c r="H13" s="15" t="n">
        <v>2264</v>
      </c>
      <c r="I13" s="15" t="n">
        <v>3625</v>
      </c>
      <c r="J13" s="15" t="n">
        <v>4623</v>
      </c>
      <c r="K13" s="15" t="n">
        <v>3272</v>
      </c>
      <c r="L13" s="15" t="n">
        <v>3642</v>
      </c>
      <c r="M13" s="15" t="n">
        <v>4428</v>
      </c>
    </row>
    <row r="14">
      <c r="A14" s="13" t="inlineStr">
        <is>
          <t>EPS in Rs</t>
        </is>
      </c>
      <c r="B14" s="15" t="n">
        <v>4.82</v>
      </c>
      <c r="C14" s="15" t="n">
        <v>6.22</v>
      </c>
      <c r="D14" s="15" t="n">
        <v>5.8</v>
      </c>
      <c r="E14" s="15" t="n">
        <v>4.11</v>
      </c>
      <c r="F14" s="15" t="n">
        <v>4.36</v>
      </c>
      <c r="G14" s="15" t="n">
        <v>6.56</v>
      </c>
      <c r="H14" s="15" t="n">
        <v>3.31</v>
      </c>
      <c r="I14" s="15" t="n">
        <v>4.89</v>
      </c>
      <c r="J14" s="15" t="n">
        <v>6.06</v>
      </c>
      <c r="K14" s="15" t="n">
        <v>4.79</v>
      </c>
      <c r="L14" s="15" t="n">
        <v>4.77</v>
      </c>
      <c r="M14" s="15" t="n">
        <v>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4" t="n">
        <v>9</v>
      </c>
      <c r="C4" s="34" t="n">
        <v>6</v>
      </c>
      <c r="D4" s="34" t="n">
        <v>2</v>
      </c>
      <c r="E4" s="34" t="n">
        <v>-21</v>
      </c>
      <c r="F4" s="34" t="n">
        <v>-11</v>
      </c>
      <c r="G4" s="34" t="n">
        <v>-10</v>
      </c>
      <c r="H4" s="34" t="n">
        <v>6</v>
      </c>
      <c r="I4" s="34" t="n">
        <v>8</v>
      </c>
      <c r="J4" s="34" t="n">
        <v>11</v>
      </c>
      <c r="K4" s="34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5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5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6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7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5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8" t="n">
        <v>788.5</v>
      </c>
      <c r="C12" s="13" t="n"/>
    </row>
    <row r="13">
      <c r="A13" s="13" t="n"/>
      <c r="B13" s="13" t="n"/>
      <c r="C13" s="13" t="n"/>
    </row>
    <row r="14">
      <c r="A14" s="39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40">
        <f>'P&amp;L'!G27</f>
        <v/>
      </c>
      <c r="C17" s="40">
        <f>'P&amp;L'!H27</f>
        <v/>
      </c>
      <c r="D17" s="41">
        <f>'P&amp;L'!I27</f>
        <v/>
      </c>
      <c r="E17" s="41">
        <f>'P&amp;L'!J27</f>
        <v/>
      </c>
      <c r="F17" s="41">
        <f>'P&amp;L'!K27</f>
        <v/>
      </c>
    </row>
    <row r="18">
      <c r="A18" s="13" t="inlineStr">
        <is>
          <t>Shareholders' Equity (Rs. Cr)</t>
        </is>
      </c>
      <c r="B18" s="40">
        <f>'Balance Sheet'!G8</f>
        <v/>
      </c>
      <c r="C18" s="40">
        <f>'Balance Sheet'!H8</f>
        <v/>
      </c>
      <c r="D18" s="41">
        <f>'Balance Sheet'!I8</f>
        <v/>
      </c>
      <c r="E18" s="41">
        <f>'Balance Sheet'!J8</f>
        <v/>
      </c>
      <c r="F18" s="41">
        <f>'Balance Sheet'!K8</f>
        <v/>
      </c>
    </row>
    <row r="19">
      <c r="A19" s="13" t="inlineStr">
        <is>
          <t>Opening Equity (Rs. Cr)</t>
        </is>
      </c>
      <c r="B19" s="40">
        <f>'Balance Sheet'!F8</f>
        <v/>
      </c>
      <c r="C19" s="40">
        <f>B18</f>
        <v/>
      </c>
      <c r="D19" s="41">
        <f>C18</f>
        <v/>
      </c>
      <c r="E19" s="41">
        <f>D18</f>
        <v/>
      </c>
      <c r="F19" s="41">
        <f>E18</f>
        <v/>
      </c>
    </row>
    <row r="20">
      <c r="A20" s="13" t="inlineStr">
        <is>
          <t>Average Equity (Rs. Cr)</t>
        </is>
      </c>
      <c r="B20" s="40">
        <f>(B18+B19)/2</f>
        <v/>
      </c>
      <c r="C20" s="40">
        <f>(C18+C19)/2</f>
        <v/>
      </c>
      <c r="D20" s="41">
        <f>(D18+D19)/2</f>
        <v/>
      </c>
      <c r="E20" s="41">
        <f>(E18+E19)/2</f>
        <v/>
      </c>
      <c r="F20" s="41">
        <f>(F18+F19)/2</f>
        <v/>
      </c>
    </row>
    <row r="21">
      <c r="A21" s="17" t="inlineStr">
        <is>
          <t>ROE (%)</t>
        </is>
      </c>
      <c r="B21" s="42">
        <f>IF(B20=0,0,B17/B20)</f>
        <v/>
      </c>
      <c r="C21" s="42">
        <f>IF(C20=0,0,C17/C20)</f>
        <v/>
      </c>
      <c r="D21" s="43">
        <f>IF(D20=0,0,D17/D20)</f>
        <v/>
      </c>
      <c r="E21" s="43">
        <f>IF(E20=0,0,E17/E20)</f>
        <v/>
      </c>
      <c r="F21" s="43">
        <f>IF(F20=0,0,F17/F20)</f>
        <v/>
      </c>
    </row>
    <row r="22">
      <c r="A22" s="13" t="n"/>
      <c r="B22" s="13" t="n"/>
      <c r="C22" s="13" t="n"/>
    </row>
    <row r="23">
      <c r="A23" s="39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40">
        <f>B19*$B$10</f>
        <v/>
      </c>
      <c r="C26" s="40">
        <f>C19*$B$10</f>
        <v/>
      </c>
      <c r="D26" s="41">
        <f>D19*$B$10</f>
        <v/>
      </c>
      <c r="E26" s="41">
        <f>E19*$B$10</f>
        <v/>
      </c>
      <c r="F26" s="41">
        <f>F19*$B$10</f>
        <v/>
      </c>
    </row>
    <row r="27">
      <c r="A27" s="17" t="inlineStr">
        <is>
          <t>Residual Income (Rs. Cr)</t>
        </is>
      </c>
      <c r="B27" s="44">
        <f>B17-B26</f>
        <v/>
      </c>
      <c r="C27" s="44">
        <f>C17-C26</f>
        <v/>
      </c>
      <c r="D27" s="45">
        <f>D17-D26</f>
        <v/>
      </c>
      <c r="E27" s="45">
        <f>E17-E26</f>
        <v/>
      </c>
      <c r="F27" s="45">
        <f>F17-F26</f>
        <v/>
      </c>
    </row>
    <row r="28">
      <c r="A28" s="13" t="inlineStr">
        <is>
          <t>Discount Factor</t>
        </is>
      </c>
      <c r="B28" s="46">
        <f>1/(1+$B$10)^1</f>
        <v/>
      </c>
      <c r="C28" s="46">
        <f>1/(1+$B$10)^2</f>
        <v/>
      </c>
      <c r="D28" s="47">
        <f>1/(1+$B$10)^3</f>
        <v/>
      </c>
      <c r="E28" s="47">
        <f>1/(1+$B$10)^4</f>
        <v/>
      </c>
      <c r="F28" s="47">
        <f>1/(1+$B$10)^5</f>
        <v/>
      </c>
    </row>
    <row r="29">
      <c r="A29" s="13" t="inlineStr">
        <is>
          <t>PV of Residual Income (Rs. Cr)</t>
        </is>
      </c>
      <c r="B29" s="40">
        <f>B27*B28</f>
        <v/>
      </c>
      <c r="C29" s="40">
        <f>C27*C28</f>
        <v/>
      </c>
      <c r="D29" s="41">
        <f>D27*D28</f>
        <v/>
      </c>
      <c r="E29" s="41">
        <f>E27*E28</f>
        <v/>
      </c>
      <c r="F29" s="41">
        <f>F27*F28</f>
        <v/>
      </c>
    </row>
    <row r="30">
      <c r="A30" s="13" t="n"/>
      <c r="B30" s="13" t="n"/>
      <c r="C30" s="13" t="n"/>
    </row>
    <row r="31">
      <c r="A31" s="39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8">
        <f>'Balance Sheet'!F8</f>
        <v/>
      </c>
      <c r="C33" s="13" t="n"/>
    </row>
    <row r="34">
      <c r="A34" s="13" t="inlineStr">
        <is>
          <t>Sum of PV of RI (Rs. Cr)</t>
        </is>
      </c>
      <c r="B34" s="48">
        <f>B29+C29+D29+E29+F29</f>
        <v/>
      </c>
      <c r="C34" s="13" t="n"/>
    </row>
    <row r="35">
      <c r="A35" s="13" t="inlineStr">
        <is>
          <t>Terminal Value (Rs. Cr)</t>
        </is>
      </c>
      <c r="B35" s="48">
        <f>F27*(1+$B$11)/($B$10-$B$11)*F28</f>
        <v/>
      </c>
      <c r="C35" s="13" t="n"/>
    </row>
    <row r="36">
      <c r="A36" s="17" t="inlineStr">
        <is>
          <t>Total Equity Value (Rs. Cr)</t>
        </is>
      </c>
      <c r="B36" s="49">
        <f>B33+B34+B35</f>
        <v/>
      </c>
      <c r="C36" s="13" t="n"/>
    </row>
    <row r="37">
      <c r="A37" s="13" t="n"/>
      <c r="B37" s="13" t="n"/>
      <c r="C37" s="13" t="n"/>
    </row>
    <row r="38">
      <c r="A38" s="39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50" t="inlineStr">
        <is>
          <t>Fair Value per Share (Rs.)</t>
        </is>
      </c>
      <c r="B40" s="51">
        <f>B36/B12</f>
        <v/>
      </c>
      <c r="C40" s="13" t="n"/>
    </row>
    <row r="41">
      <c r="A41" s="13" t="inlineStr">
        <is>
          <t>Current Market Price (Rs.)</t>
        </is>
      </c>
      <c r="B41" s="52" t="n">
        <v>193.98</v>
      </c>
      <c r="C41" s="13" t="n"/>
    </row>
    <row r="42">
      <c r="A42" s="17" t="inlineStr">
        <is>
          <t>Upside / Downside (%)</t>
        </is>
      </c>
      <c r="B42" s="37">
        <f>(B40-B41)/B41</f>
        <v/>
      </c>
      <c r="C42" s="13" t="n"/>
    </row>
    <row r="43">
      <c r="A43" s="13" t="n"/>
      <c r="B43" s="13" t="n"/>
      <c r="C43" s="13" t="n"/>
    </row>
    <row r="44">
      <c r="A44" s="39" t="inlineStr">
        <is>
          <t>RECOMMENDATION</t>
        </is>
      </c>
      <c r="B44" s="13" t="n"/>
      <c r="C44" s="13" t="n"/>
    </row>
    <row r="45">
      <c r="A45" s="53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Union Bank shows attractive valuation with ROE of 17.5% exceeding cost of equity of 13%, generating positive residual income. The stock trades at 10% discount to intrinsic value, offering moderate upside in a recovering PSU banking cycle.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4" t="inlineStr">
        <is>
          <t>S.No.</t>
        </is>
      </c>
    </row>
    <row r="5">
      <c r="A5" s="54" t="inlineStr">
        <is>
          <t>1.</t>
        </is>
      </c>
    </row>
    <row r="6">
      <c r="A6" s="54" t="inlineStr">
        <is>
          <t>2.</t>
        </is>
      </c>
    </row>
    <row r="7">
      <c r="A7" s="54" t="inlineStr">
        <is>
          <t>3.</t>
        </is>
      </c>
    </row>
    <row r="8">
      <c r="A8" s="54" t="inlineStr">
        <is>
          <t>4.</t>
        </is>
      </c>
    </row>
    <row r="9">
      <c r="A9" s="54" t="inlineStr">
        <is>
          <t>5.</t>
        </is>
      </c>
    </row>
    <row r="10">
      <c r="A10" s="54" t="inlineStr">
        <is>
          <t>6.</t>
        </is>
      </c>
    </row>
    <row r="11">
      <c r="A11" s="54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Union Bank of India (UNIONBANK)</t>
        </is>
      </c>
    </row>
    <row r="4">
      <c r="A4" s="55" t="inlineStr">
        <is>
          <t>BUY | Target: Rs.216 | Upside: 11.1%</t>
        </is>
      </c>
    </row>
    <row r="7">
      <c r="A7" s="5" t="inlineStr">
        <is>
          <t>STRENGTHS (from Screener.in)</t>
        </is>
      </c>
    </row>
    <row r="8">
      <c r="A8" s="9" t="inlineStr">
        <is>
          <t>* Stock is trading at 1.13 times its book value</t>
        </is>
      </c>
    </row>
    <row r="9">
      <c r="A9" s="9" t="inlineStr">
        <is>
          <t>* Company has delivered good profit growth of 50.7% CAGR over last 5 years</t>
        </is>
      </c>
    </row>
    <row r="10">
      <c r="A10" s="9" t="inlineStr">
        <is>
          <t>* Company has been maintaining a healthy dividend payout of 21.4%</t>
        </is>
      </c>
    </row>
    <row r="11">
      <c r="A11" s="9" t="inlineStr">
        <is>
          <t>* Company's working capital requirements have reduced from 224 days to 117 days</t>
        </is>
      </c>
    </row>
    <row r="13">
      <c r="A13" s="5" t="inlineStr">
        <is>
          <t>RISKS (from Screener.in)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Rs.6,06,539 Cr.</t>
        </is>
      </c>
    </row>
    <row r="16">
      <c r="A16" s="9" t="inlineStr">
        <is>
          <t>* Company might be capitalizing the interest cost</t>
        </is>
      </c>
    </row>
    <row r="19">
      <c r="A19" s="5" t="inlineStr">
        <is>
          <t>DETAILED ANALYSIS</t>
        </is>
      </c>
    </row>
    <row r="20" ht="300" customHeight="1">
      <c r="A20" s="56" t="inlineStr">
        <is>
          <t># Union Bank of India (UNIONBANK) – BUY
## Target Price: ₹216 | Upside: 11.1%
**RECOMMENDATION SUMMARY**
Initiate coverage on Union Bank of India with a BUY rating and target price of ₹216, implying 11% upside from current levels of ₹194. The bank is executing a focused portfolio optimization strategy while delivering robust asset quality improvement, positioning it well for sustained profitability as India enters a benign credit environment with improving GDP growth and monetary easing.
**INVESTMENT CASE**
• **Superior asset quality trajectory**: GNPA improved 79 bps YoY to 3.06% with NNPA at sector-leading 0.51%, supported by exceptional provision coverage of 95.13% (up 171 bps YoY). SMA2 accounts at historic lows of ₹4,285 crores with 95% of corporate book rated BBB+, indicating minimal forward slippages. Credit cost contained at 9 bps with management guiding to 20-40 bps range even post-ECL transition.
• **Strategic NIM protection delivering results**: Despite 125 bps repo rate cuts, NIM improved sequentially to 2.76% through deliberate shedding of ₹38,000-40,000 crores in high-cost bulk deposits, treasury portfolio reduction of ₹15,000 crores, and exit from ₹20,000 crores IBPC portfolio. CASA ratio improved 140 bps QoQ to 34%, providing sustainable liability franchise strength.
• **Strong profitability metrics with capital buffer**: ROE of 17.09% and ROA of 1.35% demonstrate operational efficiency gains, while CAR of 16.49% provides adequate buffer for growth. RAM advances growth at 11.5% YoY (Retail +21.67%, MSME +19.75%) drives portfolio mix improvement, though offset by Agriculture segment decline of -5.39%.
• **Digital transformation and governance leadership**: Ranked 2nd among PSBs in EASE agenda with multiple technology awards including Best Bank Tech Award. Management implementing AI and robotic process automation to improve operating leverage, while 200-branch expansion plan targets underserved markets for deposit mobilization.
**KEY RISKS**
• **Elevated contingent liabilities**: At ₹6.06 lakh crores, contingent liabilities remain a concern, though improved PCR provides cushion. Low interest coverage ratio suggests limited earnings buffer during stress scenarios.
• **Asset growth challenges**: Loan growth of 7.13% lagging deposit growth decline of 3.36% indicates C/D optimization may constrain near-term earnings. Agriculture book contraction of -5.39% YoY reflects portfolio risks in this segment that warrant monitoring.
• **ECL transition uncertainty**: While management guides to only ₹4,200-4,300 crores incremental provision requirement, full implementation of draft ECL norms could pressure ongoing credit costs beyond current 20-40 bps guidance range.
**VALUATION**
At 1.13x P/BV, UNIONBANK trades below historical averages despite 17% ROE and improving asset quality trajectory. Target price of ₹216 implies 1.26x FY26E P/BV, reasonable given sector-leading NNPA, strong capital adequacy, and 50.7% profit CAGR over five years. Recommend accumulating on dips below ₹185.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2026-02-22T13:25:01Z</dcterms:created>
  <dcterms:modified xmlns:dcterms="http://purl.org/dc/terms/" xmlns:xsi="http://www.w3.org/2001/XMLSchema-instance" xsi:type="dcterms:W3CDTF">2026-02-22T13:25:01Z</dcterms:modified>
</cp:coreProperties>
</file>