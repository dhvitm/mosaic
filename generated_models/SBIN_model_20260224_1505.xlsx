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ROE Tree" sheetId="4" state="visible" r:id="rId4"/>
    <sheet xmlns:r="http://schemas.openxmlformats.org/officeDocument/2006/relationships" name="Quarterly" sheetId="5" state="visible" r:id="rId5"/>
    <sheet xmlns:r="http://schemas.openxmlformats.org/officeDocument/2006/relationships" name="Key Ratios" sheetId="6" state="visible" r:id="rId6"/>
    <sheet xmlns:r="http://schemas.openxmlformats.org/officeDocument/2006/relationships" name="Valuation" sheetId="7" state="visible" r:id="rId7"/>
    <sheet xmlns:r="http://schemas.openxmlformats.org/officeDocument/2006/relationships" name="The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FF99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FF9900"/>
      <sz val="24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12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2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2" borderId="1" pivotButton="0" quotePrefix="0" xfId="0"/>
    <xf numFmtId="0" fontId="0" fillId="0" borderId="1" applyAlignment="1" pivotButton="0" quotePrefix="0" xfId="0">
      <alignment horizontal="right"/>
    </xf>
    <xf numFmtId="0" fontId="14" fillId="4" borderId="1" pivotButton="0" quotePrefix="0" xfId="0"/>
    <xf numFmtId="0" fontId="0" fillId="4" borderId="1" pivotButton="0" quotePrefix="0" xfId="0"/>
    <xf numFmtId="0" fontId="0" fillId="2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2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2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2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2" borderId="1" pivotButton="0" quotePrefix="0" xfId="0"/>
    <xf numFmtId="3" fontId="0" fillId="2" borderId="0" pivotButton="0" quotePrefix="0" xfId="0"/>
    <xf numFmtId="165" fontId="6" fillId="2" borderId="1" pivotButton="0" quotePrefix="0" xfId="0"/>
    <xf numFmtId="165" fontId="6" fillId="2" borderId="0" pivotButton="0" quotePrefix="0" xfId="0"/>
    <xf numFmtId="3" fontId="6" fillId="2" borderId="1" pivotButton="0" quotePrefix="0" xfId="0"/>
    <xf numFmtId="3" fontId="6" fillId="2" borderId="0" pivotButton="0" quotePrefix="0" xfId="0"/>
    <xf numFmtId="166" fontId="0" fillId="2" borderId="1" pivotButton="0" quotePrefix="0" xfId="0"/>
    <xf numFmtId="166" fontId="0" fillId="2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SBIN</t>
        </is>
      </c>
    </row>
    <row r="5">
      <c r="A5" s="4" t="inlineStr">
        <is>
          <t>Generated: 24 February 2026 15:05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Banking</t>
        </is>
      </c>
    </row>
    <row r="9">
      <c r="A9" t="inlineStr">
        <is>
          <t>Market Cap</t>
        </is>
      </c>
      <c r="B9" s="6" t="inlineStr">
        <is>
          <t>Rs.0 Cr</t>
        </is>
      </c>
    </row>
    <row r="10">
      <c r="A10" t="inlineStr">
        <is>
          <t>Current Price</t>
        </is>
      </c>
      <c r="B10" s="6" t="inlineStr">
        <is>
          <t>Rs.1,216.10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SELL / REDUCE</t>
        </is>
      </c>
    </row>
    <row r="15">
      <c r="A15" t="inlineStr">
        <is>
          <t>Target Price</t>
        </is>
      </c>
      <c r="B15" s="8" t="inlineStr">
        <is>
          <t>Rs.950</t>
        </is>
      </c>
    </row>
    <row r="16">
      <c r="A16" t="inlineStr">
        <is>
          <t>Upside</t>
        </is>
      </c>
      <c r="B16" t="inlineStr">
        <is>
          <t>-21.9%</t>
        </is>
      </c>
    </row>
    <row r="19">
      <c r="A19" s="5" t="inlineStr">
        <is>
          <t>INVESTMENT THESIS</t>
        </is>
      </c>
    </row>
    <row r="20">
      <c r="A20" s="9" t="inlineStr">
        <is>
          <t>State Bank of India is India's largest and best-performing PSU bank with significantly improved fundamentals - ROE of 17-18%, GNPA &lt;2.5%, and strong CASA franchise at 43-45%. However, at 1.9x P/B and 13.2x P/E, the stock is trading at a premium valuation that is not justified even for a best-in-class PSU bank. Fair valuation using RIV model suggests 1.5x P/B or ₹962, implying 22% downside from current levels. While the operational performance is commendable, valuation has run ahead of fundamentals.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3" t="inlineStr">
        <is>
          <t>Interest Earned</t>
        </is>
      </c>
      <c r="B5" s="14" t="n">
        <v>278115</v>
      </c>
      <c r="C5" s="14" t="n">
        <v>289973</v>
      </c>
      <c r="D5" s="14" t="n">
        <v>350845</v>
      </c>
      <c r="E5" s="14" t="n">
        <v>439189</v>
      </c>
      <c r="F5" s="15">
        <f>E5*1.12</f>
        <v/>
      </c>
      <c r="G5" s="15">
        <f>F5*1.12</f>
        <v/>
      </c>
      <c r="H5" s="15">
        <f>G5*1.12</f>
        <v/>
      </c>
      <c r="I5" s="15">
        <f>H5*1.12</f>
        <v/>
      </c>
      <c r="J5" s="15">
        <f>I5*1.12</f>
        <v/>
      </c>
    </row>
    <row r="6">
      <c r="A6" s="13" t="inlineStr">
        <is>
          <t>Interest on Advances</t>
        </is>
      </c>
      <c r="B6" s="14" t="n">
        <v>156010</v>
      </c>
      <c r="C6" s="14" t="n">
        <v>156194</v>
      </c>
      <c r="D6" s="14" t="n">
        <v>189981</v>
      </c>
      <c r="E6" s="14" t="n">
        <v>259736</v>
      </c>
      <c r="F6" s="15">
        <f>E6*1.10</f>
        <v/>
      </c>
      <c r="G6" s="15">
        <f>F6*1.10</f>
        <v/>
      </c>
      <c r="H6" s="15">
        <f>G6*1.10</f>
        <v/>
      </c>
      <c r="I6" s="15">
        <f>H6*1.10</f>
        <v/>
      </c>
      <c r="J6" s="15">
        <f>I6*1.10</f>
        <v/>
      </c>
    </row>
    <row r="7">
      <c r="A7" s="13" t="inlineStr">
        <is>
          <t>Income on Investments</t>
        </is>
      </c>
      <c r="F7" s="15">
        <f>E7*1.08</f>
        <v/>
      </c>
      <c r="G7" s="15">
        <f>F7*1.08</f>
        <v/>
      </c>
      <c r="H7" s="15">
        <f>G7*1.08</f>
        <v/>
      </c>
      <c r="I7" s="15">
        <f>H7*1.08</f>
        <v/>
      </c>
      <c r="J7" s="15">
        <f>I7*1.08</f>
        <v/>
      </c>
    </row>
    <row r="8">
      <c r="A8" s="13" t="inlineStr">
        <is>
          <t>Other Income</t>
        </is>
      </c>
      <c r="B8" s="14" t="n">
        <v>107222</v>
      </c>
      <c r="C8" s="14" t="n">
        <v>117000</v>
      </c>
      <c r="D8" s="14" t="n">
        <v>122534</v>
      </c>
      <c r="E8" s="14" t="n">
        <v>155386</v>
      </c>
      <c r="F8" s="15">
        <f>E8*1.08</f>
        <v/>
      </c>
      <c r="G8" s="15">
        <f>F8*1.08</f>
        <v/>
      </c>
      <c r="H8" s="15">
        <f>G8*1.08</f>
        <v/>
      </c>
      <c r="I8" s="15">
        <f>H8*1.08</f>
        <v/>
      </c>
      <c r="J8" s="15">
        <f>I8*1.08</f>
        <v/>
      </c>
    </row>
    <row r="9">
      <c r="A9" s="13" t="inlineStr">
        <is>
          <t>Commission &amp; Brokerage</t>
        </is>
      </c>
      <c r="F9" s="15">
        <f>E9*1.10</f>
        <v/>
      </c>
      <c r="G9" s="15">
        <f>F9*1.10</f>
        <v/>
      </c>
      <c r="H9" s="15">
        <f>G9*1.10</f>
        <v/>
      </c>
      <c r="I9" s="15">
        <f>H9*1.10</f>
        <v/>
      </c>
      <c r="J9" s="15">
        <f>I9*1.10</f>
        <v/>
      </c>
    </row>
    <row r="10">
      <c r="A10" s="13" t="inlineStr">
        <is>
          <t>Profit on Investments</t>
        </is>
      </c>
      <c r="F10" s="15">
        <f>E10*1.05</f>
        <v/>
      </c>
      <c r="G10" s="15">
        <f>F10*1.05</f>
        <v/>
      </c>
      <c r="H10" s="15">
        <f>G10*1.05</f>
        <v/>
      </c>
      <c r="I10" s="15">
        <f>H10*1.05</f>
        <v/>
      </c>
      <c r="J10" s="15">
        <f>I10*1.05</f>
        <v/>
      </c>
    </row>
    <row r="11">
      <c r="A11" s="16" t="inlineStr">
        <is>
          <t>Total Income</t>
        </is>
      </c>
      <c r="B11" s="17">
        <f>B5+B8+B9+B10</f>
        <v/>
      </c>
      <c r="C11" s="17">
        <f>C5+C8+C9+C10</f>
        <v/>
      </c>
      <c r="D11" s="17">
        <f>D5+D8+D9+D10</f>
        <v/>
      </c>
      <c r="E11" s="17">
        <f>E5+E8+E9+E10</f>
        <v/>
      </c>
      <c r="F11" s="18">
        <f>F5+F8+F9+F10</f>
        <v/>
      </c>
      <c r="G11" s="18">
        <f>G5+G8+G9+G10</f>
        <v/>
      </c>
      <c r="H11" s="18">
        <f>H5+H8+H9+H10</f>
        <v/>
      </c>
      <c r="I11" s="18">
        <f>I5+I8+I9+I10</f>
        <v/>
      </c>
      <c r="J11" s="18">
        <f>J5+J8+J9+J10</f>
        <v/>
      </c>
    </row>
    <row r="13">
      <c r="A13" s="13" t="inlineStr">
        <is>
          <t>Interest Expended</t>
        </is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3" t="inlineStr">
        <is>
          <t>Interest on Deposits</t>
        </is>
      </c>
      <c r="F14" s="15">
        <f>E14*1.10</f>
        <v/>
      </c>
      <c r="G14" s="15">
        <f>F14*1.10</f>
        <v/>
      </c>
      <c r="H14" s="15">
        <f>G14*1.10</f>
        <v/>
      </c>
      <c r="I14" s="15">
        <f>H14*1.10</f>
        <v/>
      </c>
      <c r="J14" s="15">
        <f>I14*1.10</f>
        <v/>
      </c>
    </row>
    <row r="15">
      <c r="A15" s="13" t="inlineStr">
        <is>
          <t>Operating Expenses</t>
        </is>
      </c>
      <c r="B15" s="14" t="n">
        <v>192821</v>
      </c>
      <c r="C15" s="14" t="n">
        <v>197349</v>
      </c>
      <c r="D15" s="14" t="n">
        <v>204303</v>
      </c>
      <c r="E15" s="14" t="n">
        <v>239750</v>
      </c>
      <c r="F15" s="15">
        <f>E15*1.10</f>
        <v/>
      </c>
      <c r="G15" s="15">
        <f>F15*1.10</f>
        <v/>
      </c>
      <c r="H15" s="15">
        <f>G15*1.10</f>
        <v/>
      </c>
      <c r="I15" s="15">
        <f>H15*1.10</f>
        <v/>
      </c>
      <c r="J15" s="15">
        <f>I15*1.10</f>
        <v/>
      </c>
    </row>
    <row r="16">
      <c r="A16" s="13" t="inlineStr">
        <is>
          <t>Employee Cost</t>
        </is>
      </c>
      <c r="B16" s="19" t="n"/>
      <c r="C16" s="19" t="n"/>
      <c r="D16" s="19" t="n"/>
      <c r="E16" s="19" t="n"/>
      <c r="F16" s="15">
        <f>E16*1.08</f>
        <v/>
      </c>
      <c r="G16" s="15">
        <f>F16*1.08</f>
        <v/>
      </c>
      <c r="H16" s="15">
        <f>G16*1.08</f>
        <v/>
      </c>
      <c r="I16" s="15">
        <f>H16*1.08</f>
        <v/>
      </c>
      <c r="J16" s="15">
        <f>I16*1.08</f>
        <v/>
      </c>
    </row>
    <row r="17">
      <c r="A17" s="13" t="inlineStr">
        <is>
          <t>Depreciation</t>
        </is>
      </c>
      <c r="B17" s="14" t="n">
        <v>3711</v>
      </c>
      <c r="C17" s="14" t="n">
        <v>3691</v>
      </c>
      <c r="D17" s="14" t="n">
        <v>3696</v>
      </c>
      <c r="E17" s="14" t="n">
        <v>3849</v>
      </c>
      <c r="F17" s="15">
        <f>E17*1.05</f>
        <v/>
      </c>
      <c r="G17" s="15">
        <f>F17*1.05</f>
        <v/>
      </c>
      <c r="H17" s="15">
        <f>G17*1.05</f>
        <v/>
      </c>
      <c r="I17" s="15">
        <f>H17*1.05</f>
        <v/>
      </c>
      <c r="J17" s="15">
        <f>I17*1.05</f>
        <v/>
      </c>
    </row>
    <row r="18">
      <c r="A18" s="13" t="inlineStr">
        <is>
          <t>Other OpEx</t>
        </is>
      </c>
      <c r="F18" s="15">
        <f>E18*1.08</f>
        <v/>
      </c>
      <c r="G18" s="15">
        <f>F18*1.08</f>
        <v/>
      </c>
      <c r="H18" s="15">
        <f>G18*1.08</f>
        <v/>
      </c>
      <c r="I18" s="15">
        <f>H18*1.08</f>
        <v/>
      </c>
      <c r="J18" s="15">
        <f>I18*1.08</f>
        <v/>
      </c>
    </row>
    <row r="19">
      <c r="A19" s="16" t="inlineStr">
        <is>
          <t>Total Expenses</t>
        </is>
      </c>
      <c r="B19" s="17">
        <f>B13+B15</f>
        <v/>
      </c>
      <c r="C19" s="17">
        <f>C13+C15</f>
        <v/>
      </c>
      <c r="D19" s="17">
        <f>D13+D15</f>
        <v/>
      </c>
      <c r="E19" s="17">
        <f>E13+E15</f>
        <v/>
      </c>
      <c r="F19" s="18">
        <f>F13+F15</f>
        <v/>
      </c>
      <c r="G19" s="18">
        <f>G13+G15</f>
        <v/>
      </c>
      <c r="H19" s="18">
        <f>H13+H15</f>
        <v/>
      </c>
      <c r="I19" s="18">
        <f>I13+I15</f>
        <v/>
      </c>
      <c r="J19" s="18">
        <f>J13+J15</f>
        <v/>
      </c>
    </row>
    <row r="21">
      <c r="A21" s="13" t="inlineStr">
        <is>
          <t>Provisions &amp; Contingencies</t>
        </is>
      </c>
      <c r="B21" s="19" t="n"/>
      <c r="C21" s="19" t="n"/>
      <c r="D21" s="19" t="n"/>
      <c r="E21" s="19" t="n"/>
      <c r="F21" s="15">
        <f>E21*1.05</f>
        <v/>
      </c>
      <c r="G21" s="15">
        <f>F21*1.05</f>
        <v/>
      </c>
      <c r="H21" s="15">
        <f>G21*1.05</f>
        <v/>
      </c>
      <c r="I21" s="15">
        <f>H21*1.05</f>
        <v/>
      </c>
      <c r="J21" s="15">
        <f>I21*1.05</f>
        <v/>
      </c>
    </row>
    <row r="22">
      <c r="A22" s="13" t="inlineStr">
        <is>
          <t>Provision for NPA</t>
        </is>
      </c>
      <c r="F22" s="15">
        <f>E22*0.95</f>
        <v/>
      </c>
      <c r="G22" s="15">
        <f>F22*0.95</f>
        <v/>
      </c>
      <c r="H22" s="15">
        <f>G22*0.95</f>
        <v/>
      </c>
      <c r="I22" s="15">
        <f>H22*0.95</f>
        <v/>
      </c>
      <c r="J22" s="15">
        <f>I22*0.95</f>
        <v/>
      </c>
    </row>
    <row r="23">
      <c r="A23" s="13" t="inlineStr">
        <is>
          <t>Provision for Tax</t>
        </is>
      </c>
      <c r="F23" s="15">
        <f>E23*1.10</f>
        <v/>
      </c>
      <c r="G23" s="15">
        <f>F23*1.10</f>
        <v/>
      </c>
      <c r="H23" s="15">
        <f>G23*1.10</f>
        <v/>
      </c>
      <c r="I23" s="15">
        <f>H23*1.10</f>
        <v/>
      </c>
      <c r="J23" s="15">
        <f>I23*1.10</f>
        <v/>
      </c>
    </row>
    <row r="24">
      <c r="A24" s="13" t="inlineStr">
        <is>
          <t>Operating Profit</t>
        </is>
      </c>
      <c r="B24" s="19" t="n"/>
      <c r="C24" s="19" t="n"/>
      <c r="D24" s="19" t="n"/>
      <c r="E24" s="19" t="n"/>
      <c r="F24" s="15">
        <f>F11-F19</f>
        <v/>
      </c>
      <c r="G24" s="15">
        <f>G11-G19</f>
        <v/>
      </c>
      <c r="H24" s="15">
        <f>H11-H19</f>
        <v/>
      </c>
      <c r="I24" s="15">
        <f>I11-I19</f>
        <v/>
      </c>
      <c r="J24" s="15">
        <f>J11-J19</f>
        <v/>
      </c>
    </row>
    <row r="25">
      <c r="A25" s="16" t="inlineStr">
        <is>
          <t>Profit Before Tax</t>
        </is>
      </c>
      <c r="B25" s="14" t="n">
        <v>32796</v>
      </c>
      <c r="C25" s="14" t="n">
        <v>49739</v>
      </c>
      <c r="D25" s="14" t="n">
        <v>75399</v>
      </c>
      <c r="E25" s="14" t="n">
        <v>91240</v>
      </c>
      <c r="F25" s="18">
        <f>F24-F21</f>
        <v/>
      </c>
      <c r="G25" s="18">
        <f>G24-G21</f>
        <v/>
      </c>
      <c r="H25" s="18">
        <f>H24-H21</f>
        <v/>
      </c>
      <c r="I25" s="18">
        <f>I24-I21</f>
        <v/>
      </c>
      <c r="J25" s="18">
        <f>J24-J21</f>
        <v/>
      </c>
    </row>
    <row r="26">
      <c r="A26" s="13" t="inlineStr">
        <is>
          <t>Tax</t>
        </is>
      </c>
      <c r="B26" s="14" t="n">
        <v>26</v>
      </c>
      <c r="C26" s="14" t="n">
        <v>27</v>
      </c>
      <c r="D26" s="14" t="n">
        <v>25</v>
      </c>
      <c r="E26" s="14" t="n">
        <v>25</v>
      </c>
      <c r="F26" s="15">
        <f>F25*0.25</f>
        <v/>
      </c>
      <c r="G26" s="15">
        <f>G25*0.25</f>
        <v/>
      </c>
      <c r="H26" s="15">
        <f>H25*0.25</f>
        <v/>
      </c>
      <c r="I26" s="15">
        <f>I25*0.25</f>
        <v/>
      </c>
      <c r="J26" s="15">
        <f>J25*0.25</f>
        <v/>
      </c>
    </row>
    <row r="27">
      <c r="A27" s="16" t="inlineStr">
        <is>
          <t>Net Profit</t>
        </is>
      </c>
      <c r="B27" s="14" t="n">
        <v>23888</v>
      </c>
      <c r="C27" s="14" t="n">
        <v>37183</v>
      </c>
      <c r="D27" s="14" t="n">
        <v>57750</v>
      </c>
      <c r="E27" s="14" t="n">
        <v>69543</v>
      </c>
      <c r="F27" s="18">
        <f>F25-F26</f>
        <v/>
      </c>
      <c r="G27" s="18">
        <f>G25-G26</f>
        <v/>
      </c>
      <c r="H27" s="18">
        <f>H25-H26</f>
        <v/>
      </c>
      <c r="I27" s="18">
        <f>I25-I26</f>
        <v/>
      </c>
      <c r="J27" s="18">
        <f>J25-J26</f>
        <v/>
      </c>
    </row>
    <row r="28">
      <c r="A28" s="13" t="inlineStr">
        <is>
          <t>EPS (Rs.)</t>
        </is>
      </c>
      <c r="B28" s="14" t="n">
        <v>25.11</v>
      </c>
      <c r="C28" s="14" t="n">
        <v>39.64</v>
      </c>
      <c r="D28" s="14" t="n">
        <v>62.35</v>
      </c>
      <c r="E28" s="14" t="n">
        <v>75.17</v>
      </c>
      <c r="F28" s="15">
        <f>E28*(F27/E27)</f>
        <v/>
      </c>
      <c r="G28" s="15">
        <f>F28*(G27/F27)</f>
        <v/>
      </c>
      <c r="H28" s="15">
        <f>G28*(H27/G27)</f>
        <v/>
      </c>
      <c r="I28" s="15">
        <f>H28*(I27/H27)</f>
        <v/>
      </c>
      <c r="J28" s="15">
        <f>I28*(J27/I27)</f>
        <v/>
      </c>
    </row>
    <row r="29">
      <c r="A29" s="13" t="inlineStr">
        <is>
          <t>Dividend Payout (%)</t>
        </is>
      </c>
      <c r="B29" s="14" t="n">
        <v>16</v>
      </c>
      <c r="C29" s="14" t="n">
        <v>18</v>
      </c>
      <c r="D29" s="14" t="n">
        <v>18</v>
      </c>
      <c r="E29" s="14" t="n">
        <v>18</v>
      </c>
      <c r="F29" s="15">
        <f>E29</f>
        <v/>
      </c>
      <c r="G29" s="15">
        <f>F29</f>
        <v/>
      </c>
      <c r="H29" s="15">
        <f>G29</f>
        <v/>
      </c>
      <c r="I29" s="15">
        <f>H29</f>
        <v/>
      </c>
      <c r="J29" s="15">
        <f>I29</f>
        <v/>
      </c>
    </row>
    <row r="31">
      <c r="A31" s="20" t="inlineStr">
        <is>
          <t>Net Profit Growth (%)</t>
        </is>
      </c>
      <c r="C31" s="21">
        <f>IF(B27=0,0,(C27/B27-1)*100)</f>
        <v/>
      </c>
      <c r="D31" s="21">
        <f>IF(C27=0,0,(D27/C27-1)*100)</f>
        <v/>
      </c>
      <c r="E31" s="21">
        <f>IF(D27=0,0,(E27/D27-1)*100)</f>
        <v/>
      </c>
      <c r="F31" s="22">
        <f>IF(E27=0,0,(F27/E27-1)*100)</f>
        <v/>
      </c>
      <c r="G31" s="22">
        <f>IF(F27=0,0,(G27/F27-1)*100)</f>
        <v/>
      </c>
      <c r="H31" s="22">
        <f>IF(G27=0,0,(H27/G27-1)*100)</f>
        <v/>
      </c>
      <c r="I31" s="22">
        <f>IF(H27=0,0,(I27/H27-1)*100)</f>
        <v/>
      </c>
      <c r="J31" s="22">
        <f>IF(I27=0,0,(J27/I27-1)*100)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6" t="inlineStr">
        <is>
          <t>LIABILITIES</t>
        </is>
      </c>
      <c r="F5" s="23" t="n"/>
      <c r="G5" s="23" t="n"/>
      <c r="H5" s="23" t="n"/>
      <c r="I5" s="23" t="n"/>
      <c r="J5" s="23" t="n"/>
    </row>
    <row r="6">
      <c r="A6" s="13" t="inlineStr">
        <is>
          <t>Equity Capital</t>
        </is>
      </c>
      <c r="B6" s="14" t="n">
        <v>892</v>
      </c>
      <c r="C6" s="14" t="n">
        <v>892</v>
      </c>
      <c r="D6" s="14" t="n">
        <v>892</v>
      </c>
      <c r="E6" s="14" t="n">
        <v>892</v>
      </c>
      <c r="F6" s="15">
        <f>E6</f>
        <v/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</row>
    <row r="7">
      <c r="A7" s="13" t="inlineStr">
        <is>
          <t>Reserves</t>
        </is>
      </c>
      <c r="B7" s="14" t="n">
        <v>274669</v>
      </c>
      <c r="C7" s="14" t="n">
        <v>304696</v>
      </c>
      <c r="D7" s="14" t="n">
        <v>358039</v>
      </c>
      <c r="E7" s="14" t="n">
        <v>414047</v>
      </c>
      <c r="F7" s="15">
        <f>E7+'P&amp;L'!F27*0.70</f>
        <v/>
      </c>
      <c r="G7" s="15">
        <f>F7+'P&amp;L'!G27*0.70</f>
        <v/>
      </c>
      <c r="H7" s="15">
        <f>G7+'P&amp;L'!H27*0.70</f>
        <v/>
      </c>
      <c r="I7" s="15">
        <f>H7+'P&amp;L'!I27*0.70</f>
        <v/>
      </c>
      <c r="J7" s="15">
        <f>I7+'P&amp;L'!J27*0.70</f>
        <v/>
      </c>
    </row>
    <row r="8">
      <c r="A8" s="16" t="inlineStr">
        <is>
          <t>Total Equity</t>
        </is>
      </c>
      <c r="B8" s="17">
        <f>B6+B7</f>
        <v/>
      </c>
      <c r="C8" s="17">
        <f>C6+C7</f>
        <v/>
      </c>
      <c r="D8" s="17">
        <f>D6+D7</f>
        <v/>
      </c>
      <c r="E8" s="17">
        <f>E6+E7</f>
        <v/>
      </c>
      <c r="F8" s="18">
        <f>F6+F7</f>
        <v/>
      </c>
      <c r="G8" s="18">
        <f>G6+G7</f>
        <v/>
      </c>
      <c r="H8" s="18">
        <f>H6+H7</f>
        <v/>
      </c>
      <c r="I8" s="18">
        <f>I6+I7</f>
        <v/>
      </c>
      <c r="J8" s="18">
        <f>J6+J7</f>
        <v/>
      </c>
    </row>
    <row r="10">
      <c r="A10" s="13" t="inlineStr">
        <is>
          <t>Deposits</t>
        </is>
      </c>
      <c r="B10" s="14" t="n">
        <v>3715331</v>
      </c>
      <c r="C10" s="14" t="n">
        <v>4087411</v>
      </c>
      <c r="D10" s="14" t="n">
        <v>4468536</v>
      </c>
      <c r="E10" s="14" t="n">
        <v>4966537</v>
      </c>
      <c r="F10" s="15">
        <f>E10*1.12</f>
        <v/>
      </c>
      <c r="G10" s="15">
        <f>F10*1.12</f>
        <v/>
      </c>
      <c r="H10" s="15">
        <f>G10*1.12</f>
        <v/>
      </c>
      <c r="I10" s="15">
        <f>H10*1.12</f>
        <v/>
      </c>
      <c r="J10" s="15">
        <f>I10*1.12</f>
        <v/>
      </c>
    </row>
    <row r="11">
      <c r="A11" s="13" t="inlineStr">
        <is>
          <t>CASA Deposits</t>
        </is>
      </c>
      <c r="B11" s="19" t="n"/>
      <c r="C11" s="19" t="n"/>
      <c r="D11" s="19" t="n"/>
      <c r="E11" s="19" t="n"/>
      <c r="F11" s="15">
        <f>E11*1.14</f>
        <v/>
      </c>
      <c r="G11" s="15">
        <f>F11*1.14</f>
        <v/>
      </c>
      <c r="H11" s="15">
        <f>G11*1.14</f>
        <v/>
      </c>
      <c r="I11" s="15">
        <f>H11*1.14</f>
        <v/>
      </c>
      <c r="J11" s="15">
        <f>I11*1.14</f>
        <v/>
      </c>
    </row>
    <row r="12">
      <c r="A12" s="13" t="inlineStr">
        <is>
          <t>Borrowings</t>
        </is>
      </c>
      <c r="B12" s="14" t="n">
        <v>433796</v>
      </c>
      <c r="C12" s="14" t="n">
        <v>449160</v>
      </c>
      <c r="D12" s="14" t="n">
        <v>521152</v>
      </c>
      <c r="E12" s="14" t="n">
        <v>639610</v>
      </c>
      <c r="F12" s="15">
        <f>E12*1.08</f>
        <v/>
      </c>
      <c r="G12" s="15">
        <f>F12*1.08</f>
        <v/>
      </c>
      <c r="H12" s="15">
        <f>G12*1.08</f>
        <v/>
      </c>
      <c r="I12" s="15">
        <f>H12*1.08</f>
        <v/>
      </c>
      <c r="J12" s="15">
        <f>I12*1.08</f>
        <v/>
      </c>
    </row>
    <row r="13">
      <c r="A13" s="13" t="inlineStr">
        <is>
          <t>Other Liabilities</t>
        </is>
      </c>
      <c r="B13" s="14" t="n">
        <v>420926</v>
      </c>
      <c r="C13" s="14" t="n">
        <v>518719</v>
      </c>
      <c r="D13" s="14" t="n">
        <v>605796</v>
      </c>
      <c r="E13" s="14" t="n">
        <v>712669</v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6" t="inlineStr">
        <is>
          <t>Total Liabilities</t>
        </is>
      </c>
      <c r="B14" s="14" t="n">
        <v>4845615</v>
      </c>
      <c r="C14" s="14" t="n">
        <v>5360878</v>
      </c>
      <c r="D14" s="14" t="n">
        <v>5954415</v>
      </c>
      <c r="E14" s="14" t="n">
        <v>6733756</v>
      </c>
      <c r="F14" s="18">
        <f>F8+F10+F12+F13</f>
        <v/>
      </c>
      <c r="G14" s="18">
        <f>G8+G10+G12+G13</f>
        <v/>
      </c>
      <c r="H14" s="18">
        <f>H8+H10+H12+H13</f>
        <v/>
      </c>
      <c r="I14" s="18">
        <f>I8+I10+I12+I13</f>
        <v/>
      </c>
      <c r="J14" s="18">
        <f>J8+J10+J12+J13</f>
        <v/>
      </c>
    </row>
    <row r="16">
      <c r="A16" s="16" t="inlineStr">
        <is>
          <t>ASSETS</t>
        </is>
      </c>
      <c r="F16" s="23" t="n"/>
      <c r="G16" s="23" t="n"/>
      <c r="H16" s="23" t="n"/>
      <c r="I16" s="23" t="n"/>
      <c r="J16" s="23" t="n"/>
    </row>
    <row r="17">
      <c r="A17" s="13" t="inlineStr">
        <is>
          <t>Cash &amp; Bank Balances</t>
        </is>
      </c>
      <c r="B17" s="19" t="n"/>
      <c r="C17" s="19" t="n"/>
      <c r="D17" s="19" t="n"/>
      <c r="E17" s="19" t="n"/>
      <c r="F17" s="15">
        <f>E17*1.08</f>
        <v/>
      </c>
      <c r="G17" s="15">
        <f>F17*1.08</f>
        <v/>
      </c>
      <c r="H17" s="15">
        <f>G17*1.08</f>
        <v/>
      </c>
      <c r="I17" s="15">
        <f>H17*1.08</f>
        <v/>
      </c>
      <c r="J17" s="15">
        <f>I17*1.08</f>
        <v/>
      </c>
    </row>
    <row r="18">
      <c r="A18" s="13" t="inlineStr">
        <is>
          <t>Fixed Assets</t>
        </is>
      </c>
      <c r="B18" s="14" t="n">
        <v>41600</v>
      </c>
      <c r="C18" s="14" t="n">
        <v>41032</v>
      </c>
      <c r="D18" s="14" t="n">
        <v>45880</v>
      </c>
      <c r="E18" s="14" t="n">
        <v>46072</v>
      </c>
      <c r="F18" s="15">
        <f>E18*1.05</f>
        <v/>
      </c>
      <c r="G18" s="15">
        <f>F18*1.05</f>
        <v/>
      </c>
      <c r="H18" s="15">
        <f>G18*1.05</f>
        <v/>
      </c>
      <c r="I18" s="15">
        <f>H18*1.05</f>
        <v/>
      </c>
      <c r="J18" s="15">
        <f>I18*1.05</f>
        <v/>
      </c>
    </row>
    <row r="19">
      <c r="A19" s="13" t="inlineStr">
        <is>
          <t>CWIP</t>
        </is>
      </c>
      <c r="B19" s="14" t="n">
        <v>116</v>
      </c>
      <c r="C19" s="14" t="n">
        <v>28</v>
      </c>
      <c r="D19" s="14" t="n">
        <v>66</v>
      </c>
      <c r="E19" s="14" t="n">
        <v>42</v>
      </c>
      <c r="F19" s="15">
        <f>E19*1.02</f>
        <v/>
      </c>
      <c r="G19" s="15">
        <f>F19*1.02</f>
        <v/>
      </c>
      <c r="H19" s="15">
        <f>G19*1.02</f>
        <v/>
      </c>
      <c r="I19" s="15">
        <f>H19*1.02</f>
        <v/>
      </c>
      <c r="J19" s="15">
        <f>I19*1.02</f>
        <v/>
      </c>
    </row>
    <row r="20">
      <c r="A20" s="13" t="inlineStr">
        <is>
          <t>Investments</t>
        </is>
      </c>
      <c r="B20" s="14" t="n">
        <v>1595100</v>
      </c>
      <c r="C20" s="14" t="n">
        <v>1776490</v>
      </c>
      <c r="D20" s="14" t="n">
        <v>1913108</v>
      </c>
      <c r="E20" s="14" t="n">
        <v>2110548</v>
      </c>
      <c r="F20" s="15">
        <f>E20*1.10</f>
        <v/>
      </c>
      <c r="G20" s="15">
        <f>F20*1.10</f>
        <v/>
      </c>
      <c r="H20" s="15">
        <f>G20*1.10</f>
        <v/>
      </c>
      <c r="I20" s="15">
        <f>H20*1.10</f>
        <v/>
      </c>
      <c r="J20" s="15">
        <f>I20*1.10</f>
        <v/>
      </c>
    </row>
    <row r="21">
      <c r="A21" s="13" t="inlineStr">
        <is>
          <t>Advances</t>
        </is>
      </c>
      <c r="B21" s="19" t="n"/>
      <c r="C21" s="19" t="n"/>
      <c r="D21" s="19" t="n"/>
      <c r="E21" s="19" t="n"/>
      <c r="F21" s="15">
        <f>E21*1.12</f>
        <v/>
      </c>
      <c r="G21" s="15">
        <f>F21*1.12</f>
        <v/>
      </c>
      <c r="H21" s="15">
        <f>G21*1.12</f>
        <v/>
      </c>
      <c r="I21" s="15">
        <f>H21*1.12</f>
        <v/>
      </c>
      <c r="J21" s="15">
        <f>I21*1.12</f>
        <v/>
      </c>
    </row>
    <row r="22">
      <c r="A22" s="13" t="inlineStr">
        <is>
          <t>Other Assets</t>
        </is>
      </c>
      <c r="B22" s="14" t="n">
        <v>3208798</v>
      </c>
      <c r="C22" s="14" t="n">
        <v>3543328</v>
      </c>
      <c r="D22" s="14" t="n">
        <v>3995361</v>
      </c>
      <c r="E22" s="14" t="n">
        <v>4577093</v>
      </c>
      <c r="F22" s="15">
        <f>E22*1.08</f>
        <v/>
      </c>
      <c r="G22" s="15">
        <f>F22*1.08</f>
        <v/>
      </c>
      <c r="H22" s="15">
        <f>G22*1.08</f>
        <v/>
      </c>
      <c r="I22" s="15">
        <f>H22*1.08</f>
        <v/>
      </c>
      <c r="J22" s="15">
        <f>I22*1.08</f>
        <v/>
      </c>
    </row>
    <row r="23">
      <c r="A23" s="16" t="inlineStr">
        <is>
          <t>Total Assets</t>
        </is>
      </c>
      <c r="B23" s="14" t="n">
        <v>4845615</v>
      </c>
      <c r="C23" s="14" t="n">
        <v>5360878</v>
      </c>
      <c r="D23" s="14" t="n">
        <v>5954415</v>
      </c>
      <c r="E23" s="14" t="n">
        <v>6733756</v>
      </c>
      <c r="F23" s="18">
        <f>F14</f>
        <v/>
      </c>
      <c r="G23" s="18">
        <f>G14</f>
        <v/>
      </c>
      <c r="H23" s="18">
        <f>H14</f>
        <v/>
      </c>
      <c r="I23" s="18">
        <f>I14</f>
        <v/>
      </c>
      <c r="J23" s="18">
        <f>J14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24" t="inlineStr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</row>
    <row r="6">
      <c r="A6" s="24" t="inlineStr">
        <is>
          <t>PROFITABILITY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>
      <c r="A7" s="13" t="inlineStr">
        <is>
          <t>Net Profit (PAT)</t>
        </is>
      </c>
      <c r="B7" s="23">
        <f>'P&amp;L'!B27</f>
        <v/>
      </c>
      <c r="C7" s="23">
        <f>'P&amp;L'!C27</f>
        <v/>
      </c>
      <c r="D7" s="23">
        <f>'P&amp;L'!D27</f>
        <v/>
      </c>
      <c r="E7" s="23">
        <f>'P&amp;L'!E27</f>
        <v/>
      </c>
      <c r="F7" s="26">
        <f>'P&amp;L'!F27</f>
        <v/>
      </c>
      <c r="G7" s="26">
        <f>'P&amp;L'!G27</f>
        <v/>
      </c>
      <c r="H7" s="26">
        <f>'P&amp;L'!H27</f>
        <v/>
      </c>
      <c r="I7" s="26">
        <f>'P&amp;L'!I27</f>
        <v/>
      </c>
      <c r="J7" s="26">
        <f>'P&amp;L'!J27</f>
        <v/>
      </c>
    </row>
    <row r="8">
      <c r="A8" s="13" t="inlineStr">
        <is>
          <t>Revenue</t>
        </is>
      </c>
      <c r="B8" s="23">
        <f>'P&amp;L'!B5</f>
        <v/>
      </c>
      <c r="C8" s="23">
        <f>'P&amp;L'!C5</f>
        <v/>
      </c>
      <c r="D8" s="23">
        <f>'P&amp;L'!D5</f>
        <v/>
      </c>
      <c r="E8" s="23">
        <f>'P&amp;L'!E5</f>
        <v/>
      </c>
      <c r="F8" s="26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8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</row>
    <row r="11">
      <c r="A11" s="24" t="inlineStr">
        <is>
          <t>EFFICIENCY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</row>
    <row r="12">
      <c r="A12" s="13" t="inlineStr">
        <is>
          <t>Revenue</t>
        </is>
      </c>
      <c r="B12" s="23">
        <f>'P&amp;L'!B5</f>
        <v/>
      </c>
      <c r="C12" s="23">
        <f>'P&amp;L'!C5</f>
        <v/>
      </c>
      <c r="D12" s="23">
        <f>'P&amp;L'!D5</f>
        <v/>
      </c>
      <c r="E12" s="23">
        <f>'P&amp;L'!E5</f>
        <v/>
      </c>
      <c r="F12" s="26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</row>
    <row r="13">
      <c r="A13" s="13" t="inlineStr">
        <is>
          <t>Average Total Assets</t>
        </is>
      </c>
      <c r="B13" s="23">
        <f>'Balance Sheet'!B23</f>
        <v/>
      </c>
      <c r="C13" s="23">
        <f>('Balance Sheet'!C23+'Balance Sheet'!B23)/2</f>
        <v/>
      </c>
      <c r="D13" s="23">
        <f>('Balance Sheet'!D23+'Balance Sheet'!C23)/2</f>
        <v/>
      </c>
      <c r="E13" s="23">
        <f>('Balance Sheet'!E23+'Balance Sheet'!D23)/2</f>
        <v/>
      </c>
      <c r="F13" s="26">
        <f>('Balance Sheet'!F23+'Balance Sheet'!E23)/2</f>
        <v/>
      </c>
      <c r="G13" s="26">
        <f>('Balance Sheet'!G23+'Balance Sheet'!F23)/2</f>
        <v/>
      </c>
      <c r="H13" s="26">
        <f>('Balance Sheet'!H23+'Balance Sheet'!G23)/2</f>
        <v/>
      </c>
      <c r="I13" s="26">
        <f>('Balance Sheet'!I23+'Balance Sheet'!H23)/2</f>
        <v/>
      </c>
      <c r="J13" s="26">
        <f>('Balance Sheet'!J23+'Balance Sheet'!I23)/2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8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</row>
    <row r="16">
      <c r="A16" s="24" t="inlineStr">
        <is>
          <t>LEVERAGE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</row>
    <row r="17">
      <c r="A17" s="13" t="inlineStr">
        <is>
          <t>Average Total Assets</t>
        </is>
      </c>
      <c r="B17" s="23">
        <f>'Balance Sheet'!B23</f>
        <v/>
      </c>
      <c r="C17" s="23">
        <f>('Balance Sheet'!C23+'Balance Sheet'!B23)/2</f>
        <v/>
      </c>
      <c r="D17" s="23">
        <f>('Balance Sheet'!D23+'Balance Sheet'!C23)/2</f>
        <v/>
      </c>
      <c r="E17" s="23">
        <f>('Balance Sheet'!E23+'Balance Sheet'!D23)/2</f>
        <v/>
      </c>
      <c r="F17" s="26">
        <f>('Balance Sheet'!F23+'Balance Sheet'!E23)/2</f>
        <v/>
      </c>
      <c r="G17" s="26">
        <f>('Balance Sheet'!G23+'Balance Sheet'!F23)/2</f>
        <v/>
      </c>
      <c r="H17" s="26">
        <f>('Balance Sheet'!H23+'Balance Sheet'!G23)/2</f>
        <v/>
      </c>
      <c r="I17" s="26">
        <f>('Balance Sheet'!I23+'Balance Sheet'!H23)/2</f>
        <v/>
      </c>
      <c r="J17" s="26">
        <f>('Balance Sheet'!J23+'Balance Sheet'!I23)/2</f>
        <v/>
      </c>
    </row>
    <row r="18">
      <c r="A18" s="13" t="inlineStr">
        <is>
          <t>Average Equity</t>
        </is>
      </c>
      <c r="B18" s="23">
        <f>'Balance Sheet'!B8</f>
        <v/>
      </c>
      <c r="C18" s="23">
        <f>('Balance Sheet'!C8+'Balance Sheet'!B8)/2</f>
        <v/>
      </c>
      <c r="D18" s="23">
        <f>('Balance Sheet'!D8+'Balance Sheet'!C8)/2</f>
        <v/>
      </c>
      <c r="E18" s="23">
        <f>('Balance Sheet'!E8+'Balance Sheet'!D8)/2</f>
        <v/>
      </c>
      <c r="F18" s="26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8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</row>
    <row r="21">
      <c r="A21" s="24" t="inlineStr">
        <is>
          <t>ROE CALCULATION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30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2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2021</t>
        </is>
      </c>
      <c r="C3" s="12" t="inlineStr">
        <is>
          <t>Mar 2022</t>
        </is>
      </c>
      <c r="D3" s="12" t="inlineStr">
        <is>
          <t>Mar 2023</t>
        </is>
      </c>
      <c r="E3" s="12" t="inlineStr">
        <is>
          <t>Mar 2024</t>
        </is>
      </c>
      <c r="F3" s="12" t="inlineStr">
        <is>
          <t>Mar 2025</t>
        </is>
      </c>
    </row>
    <row r="4">
      <c r="A4" s="13" t="inlineStr">
        <is>
          <t>ROE %</t>
        </is>
      </c>
      <c r="B4" s="33" t="n">
        <v>7</v>
      </c>
      <c r="C4" s="33" t="n">
        <v>9</v>
      </c>
      <c r="D4" s="33" t="n">
        <v>12</v>
      </c>
      <c r="E4" s="33" t="n">
        <v>17</v>
      </c>
      <c r="F4" s="33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4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4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5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6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4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7" t="n">
        <v>1538</v>
      </c>
      <c r="C12" s="13" t="n"/>
    </row>
    <row r="13">
      <c r="A13" s="13" t="n"/>
      <c r="B13" s="13" t="n"/>
      <c r="C13" s="13" t="n"/>
    </row>
    <row r="14">
      <c r="A14" s="38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9">
        <f>'P&amp;L'!F27</f>
        <v/>
      </c>
      <c r="C17" s="39">
        <f>'P&amp;L'!G27</f>
        <v/>
      </c>
      <c r="D17" s="40">
        <f>'P&amp;L'!H27</f>
        <v/>
      </c>
      <c r="E17" s="40">
        <f>'P&amp;L'!I27</f>
        <v/>
      </c>
      <c r="F17" s="40">
        <f>'P&amp;L'!J27</f>
        <v/>
      </c>
    </row>
    <row r="18">
      <c r="A18" s="13" t="inlineStr">
        <is>
          <t>Shareholders' Equity (Rs. Cr)</t>
        </is>
      </c>
      <c r="B18" s="39">
        <f>'Balance Sheet'!F8</f>
        <v/>
      </c>
      <c r="C18" s="39">
        <f>'Balance Sheet'!G8</f>
        <v/>
      </c>
      <c r="D18" s="40">
        <f>'Balance Sheet'!H8</f>
        <v/>
      </c>
      <c r="E18" s="40">
        <f>'Balance Sheet'!I8</f>
        <v/>
      </c>
      <c r="F18" s="40">
        <f>'Balance Sheet'!J8</f>
        <v/>
      </c>
    </row>
    <row r="19">
      <c r="A19" s="13" t="inlineStr">
        <is>
          <t>Opening Equity (Rs. Cr)</t>
        </is>
      </c>
      <c r="B19" s="39">
        <f>'Balance Sheet'!E8</f>
        <v/>
      </c>
      <c r="C19" s="39">
        <f>B18</f>
        <v/>
      </c>
      <c r="D19" s="40">
        <f>C18</f>
        <v/>
      </c>
      <c r="E19" s="40">
        <f>D18</f>
        <v/>
      </c>
      <c r="F19" s="40">
        <f>E18</f>
        <v/>
      </c>
    </row>
    <row r="20">
      <c r="A20" s="13" t="inlineStr">
        <is>
          <t>Average Equity (Rs. Cr)</t>
        </is>
      </c>
      <c r="B20" s="39">
        <f>(B18+B19)/2</f>
        <v/>
      </c>
      <c r="C20" s="39">
        <f>(C18+C19)/2</f>
        <v/>
      </c>
      <c r="D20" s="40">
        <f>(D18+D19)/2</f>
        <v/>
      </c>
      <c r="E20" s="40">
        <f>(E18+E19)/2</f>
        <v/>
      </c>
      <c r="F20" s="40">
        <f>(F18+F19)/2</f>
        <v/>
      </c>
    </row>
    <row r="21">
      <c r="A21" s="16" t="inlineStr">
        <is>
          <t>ROE (%)</t>
        </is>
      </c>
      <c r="B21" s="41">
        <f>IF(B20=0,0,B17/B20)</f>
        <v/>
      </c>
      <c r="C21" s="41">
        <f>IF(C20=0,0,C17/C20)</f>
        <v/>
      </c>
      <c r="D21" s="42">
        <f>IF(D20=0,0,D17/D20)</f>
        <v/>
      </c>
      <c r="E21" s="42">
        <f>IF(E20=0,0,E17/E20)</f>
        <v/>
      </c>
      <c r="F21" s="42">
        <f>IF(F20=0,0,F17/F20)</f>
        <v/>
      </c>
    </row>
    <row r="22">
      <c r="A22" s="13" t="n"/>
      <c r="B22" s="13" t="n"/>
      <c r="C22" s="13" t="n"/>
    </row>
    <row r="23">
      <c r="A23" s="38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9">
        <f>B19*$B$10</f>
        <v/>
      </c>
      <c r="C26" s="39">
        <f>C19*$B$10</f>
        <v/>
      </c>
      <c r="D26" s="40">
        <f>D19*$B$10</f>
        <v/>
      </c>
      <c r="E26" s="40">
        <f>E19*$B$10</f>
        <v/>
      </c>
      <c r="F26" s="40">
        <f>F19*$B$10</f>
        <v/>
      </c>
    </row>
    <row r="27">
      <c r="A27" s="16" t="inlineStr">
        <is>
          <t>Residual Income (Rs. Cr)</t>
        </is>
      </c>
      <c r="B27" s="43">
        <f>B17-B26</f>
        <v/>
      </c>
      <c r="C27" s="43">
        <f>C17-C26</f>
        <v/>
      </c>
      <c r="D27" s="44">
        <f>D17-D26</f>
        <v/>
      </c>
      <c r="E27" s="44">
        <f>E17-E26</f>
        <v/>
      </c>
      <c r="F27" s="44">
        <f>F17-F26</f>
        <v/>
      </c>
    </row>
    <row r="28">
      <c r="A28" s="13" t="inlineStr">
        <is>
          <t>Discount Factor</t>
        </is>
      </c>
      <c r="B28" s="45">
        <f>1/(1+$B$10)^1</f>
        <v/>
      </c>
      <c r="C28" s="45">
        <f>1/(1+$B$10)^2</f>
        <v/>
      </c>
      <c r="D28" s="46">
        <f>1/(1+$B$10)^3</f>
        <v/>
      </c>
      <c r="E28" s="46">
        <f>1/(1+$B$10)^4</f>
        <v/>
      </c>
      <c r="F28" s="46">
        <f>1/(1+$B$10)^5</f>
        <v/>
      </c>
    </row>
    <row r="29">
      <c r="A29" s="13" t="inlineStr">
        <is>
          <t>PV of Residual Income (Rs. Cr)</t>
        </is>
      </c>
      <c r="B29" s="39">
        <f>B27*B28</f>
        <v/>
      </c>
      <c r="C29" s="39">
        <f>C27*C28</f>
        <v/>
      </c>
      <c r="D29" s="40">
        <f>D27*D28</f>
        <v/>
      </c>
      <c r="E29" s="40">
        <f>E27*E28</f>
        <v/>
      </c>
      <c r="F29" s="40">
        <f>F27*F28</f>
        <v/>
      </c>
    </row>
    <row r="30">
      <c r="A30" s="13" t="n"/>
      <c r="B30" s="13" t="n"/>
      <c r="C30" s="13" t="n"/>
    </row>
    <row r="31">
      <c r="A31" s="38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7">
        <f>'Balance Sheet'!E8</f>
        <v/>
      </c>
      <c r="C33" s="13" t="n"/>
    </row>
    <row r="34">
      <c r="A34" s="13" t="inlineStr">
        <is>
          <t>Sum of PV of RI (Rs. Cr)</t>
        </is>
      </c>
      <c r="B34" s="47">
        <f>B29+C29+D29+E29+F29</f>
        <v/>
      </c>
      <c r="C34" s="13" t="n"/>
    </row>
    <row r="35">
      <c r="A35" s="13" t="inlineStr">
        <is>
          <t>Terminal Value (Rs. Cr)</t>
        </is>
      </c>
      <c r="B35" s="47">
        <f>F27*(1+$B$11)/($B$10-$B$11)*F28</f>
        <v/>
      </c>
      <c r="C35" s="13" t="n"/>
    </row>
    <row r="36">
      <c r="A36" s="16" t="inlineStr">
        <is>
          <t>Total Equity Value (Rs. Cr)</t>
        </is>
      </c>
      <c r="B36" s="48">
        <f>B33+B34+B35</f>
        <v/>
      </c>
      <c r="C36" s="13" t="n"/>
    </row>
    <row r="37">
      <c r="A37" s="13" t="n"/>
      <c r="B37" s="13" t="n"/>
      <c r="C37" s="13" t="n"/>
    </row>
    <row r="38">
      <c r="A38" s="38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9" t="inlineStr">
        <is>
          <t>Fair Value per Share (Rs.)</t>
        </is>
      </c>
      <c r="B40" s="50">
        <f>B36/B12</f>
        <v/>
      </c>
      <c r="C40" s="13" t="n"/>
    </row>
    <row r="41">
      <c r="A41" s="13" t="inlineStr">
        <is>
          <t>Current Market Price (Rs.)</t>
        </is>
      </c>
      <c r="B41" s="51" t="n">
        <v>1216.1</v>
      </c>
      <c r="C41" s="13" t="n"/>
    </row>
    <row r="42">
      <c r="A42" s="16" t="inlineStr">
        <is>
          <t>Upside / Downside (%)</t>
        </is>
      </c>
      <c r="B42" s="36">
        <f>(B40-B41)/B41</f>
        <v/>
      </c>
      <c r="C42" s="13" t="n"/>
    </row>
    <row r="43">
      <c r="A43" s="13" t="n"/>
      <c r="B43" s="13" t="n"/>
      <c r="C43" s="13" t="n"/>
    </row>
    <row r="44">
      <c r="A44" s="38" t="inlineStr">
        <is>
          <t>RECOMMENDATION</t>
        </is>
      </c>
      <c r="B44" s="13" t="n"/>
      <c r="C44" s="13" t="n"/>
    </row>
    <row r="45">
      <c r="A45" s="52" t="inlineStr">
        <is>
          <t>SELL / REDUCE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SBI is trading at 1.9x P/B (₹1,216) vs fair value of 1.5x P/B (₹962), implying ~26% overvaluation. While SBI has achieved impressive ROE improvement to 17-18% and best-in-class PSU metrics (GNPA &lt;2.5%, strong CASA 43-45%), the current valuation at 1.9x P/B is stretched for a PSU bank. Even ICICI Bank (superior ROE, NIM, asset quality) trades at 2.87x P/B. SBI's valuation premium has expanded beyond fundamentals. Downside risk of 22% to fair value of ₹950-960. For PSU banks, 1.3-1.6x P/B is reasonable for 16-17% ROE. Recommend REDUCE/SELL with target ₹950.</t>
        </is>
      </c>
    </row>
  </sheetData>
  <mergeCells count="1">
    <mergeCell ref="A47:F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(SBIN)</t>
        </is>
      </c>
    </row>
    <row r="4">
      <c r="A4" s="53" t="inlineStr">
        <is>
          <t>SELL / REDUCE | Target: Rs.950 | Upside: -21.9%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4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2026-02-24T15:05:02Z</dcterms:created>
  <dcterms:modified xmlns:dcterms="http://purl.org/dc/terms/" xmlns:xsi="http://www.w3.org/2001/XMLSchema-instance" xsi:type="dcterms:W3CDTF">2026-02-24T15:05:02Z</dcterms:modified>
</cp:coreProperties>
</file>