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i val="1"/>
      <color rgb="00666666"/>
      <sz val="9"/>
    </font>
    <font>
      <b val="1"/>
      <color rgb="00FF9900"/>
      <sz val="2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0" fontId="12" fillId="0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14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0" fontId="17" fillId="0" borderId="0" pivotButton="0" quotePrefix="0" xfId="0"/>
    <xf numFmtId="0" fontId="6" fillId="0" borderId="1" applyAlignment="1" pivotButton="0" quotePrefix="0" xfId="0">
      <alignment horizontal="right"/>
    </xf>
    <xf numFmtId="0" fontId="18" fillId="0" borderId="0" pivotButton="0" quotePrefix="0" xfId="0"/>
    <xf numFmtId="0" fontId="12" fillId="0" borderId="1" pivotButton="0" quotePrefix="0" xfId="0"/>
    <xf numFmtId="0" fontId="1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HDFC Bank Ltd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10:50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Rs.1,325,000 Cr</t>
        </is>
      </c>
    </row>
    <row r="10">
      <c r="A10" t="inlineStr">
        <is>
          <t>Current Price</t>
        </is>
      </c>
      <c r="B10" s="6" t="inlineStr">
        <is>
          <t>Rs.1,742.85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Rs.1,850</t>
        </is>
      </c>
    </row>
    <row r="16">
      <c r="A16" t="inlineStr">
        <is>
          <t>Upside</t>
        </is>
      </c>
      <c r="B16" t="inlineStr">
        <is>
          <t>6.1%</t>
        </is>
      </c>
    </row>
    <row r="19">
      <c r="A19" s="5" t="inlineStr">
        <is>
          <t>INVESTMENT THESIS</t>
        </is>
      </c>
    </row>
    <row r="20">
      <c r="A20" s="9" t="inlineStr">
        <is>
          <t>HOLD with target price of ₹1850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14</v>
      </c>
      <c r="C5" s="14" t="n">
        <v>14</v>
      </c>
      <c r="D5" s="14" t="n">
        <v>13</v>
      </c>
      <c r="E5" s="14" t="n">
        <v>13</v>
      </c>
      <c r="F5" s="14" t="n">
        <v>12</v>
      </c>
    </row>
    <row r="6">
      <c r="A6" s="13" t="inlineStr">
        <is>
          <t>Net Interest Margin (%)</t>
        </is>
      </c>
      <c r="B6" s="14" t="n">
        <v>4.1</v>
      </c>
      <c r="C6" s="14" t="n">
        <v>4</v>
      </c>
      <c r="D6" s="14" t="n">
        <v>3.9</v>
      </c>
      <c r="E6" s="14" t="n">
        <v>3.9</v>
      </c>
      <c r="F6" s="14" t="n">
        <v>3.8</v>
      </c>
    </row>
    <row r="7">
      <c r="A7" s="13" t="inlineStr">
        <is>
          <t>Return on Assets (%)</t>
        </is>
      </c>
      <c r="B7" s="14" t="n">
        <v>2</v>
      </c>
      <c r="C7" s="14" t="n">
        <v>2.1</v>
      </c>
      <c r="D7" s="14" t="n">
        <v>2.1</v>
      </c>
      <c r="E7" s="14" t="n">
        <v>2.2</v>
      </c>
      <c r="F7" s="14" t="n">
        <v>2.2</v>
      </c>
    </row>
    <row r="8">
      <c r="A8" s="13" t="inlineStr">
        <is>
          <t>Return on Equity (%)</t>
        </is>
      </c>
      <c r="B8" s="14" t="n">
        <v>16.5</v>
      </c>
      <c r="C8" s="14" t="n">
        <v>17</v>
      </c>
      <c r="D8" s="14" t="n">
        <v>17.5</v>
      </c>
      <c r="E8" s="14" t="n">
        <v>18</v>
      </c>
      <c r="F8" s="14" t="n">
        <v>18.5</v>
      </c>
    </row>
    <row r="9">
      <c r="A9" s="13" t="inlineStr">
        <is>
          <t>CASA Ratio (%)</t>
        </is>
      </c>
      <c r="B9" s="14" t="n">
        <v>43</v>
      </c>
      <c r="C9" s="14" t="n">
        <v>44</v>
      </c>
      <c r="D9" s="14" t="n">
        <v>45</v>
      </c>
      <c r="E9" s="14" t="n">
        <v>46</v>
      </c>
      <c r="F9" s="14" t="n">
        <v>47</v>
      </c>
    </row>
    <row r="10">
      <c r="A10" s="13" t="inlineStr">
        <is>
          <t>Credit Cost (%)</t>
        </is>
      </c>
      <c r="B10" s="14" t="n">
        <v>1.1</v>
      </c>
      <c r="C10" s="14" t="n">
        <v>1</v>
      </c>
      <c r="D10" s="14" t="n">
        <v>1</v>
      </c>
      <c r="E10" s="14" t="n">
        <v>0.9</v>
      </c>
      <c r="F10" s="14" t="n">
        <v>0.9</v>
      </c>
    </row>
    <row r="11">
      <c r="A11" s="13" t="inlineStr">
        <is>
          <t>Cost-to-Income (%)</t>
        </is>
      </c>
      <c r="B11" s="14" t="n">
        <v>41</v>
      </c>
      <c r="C11" s="14" t="n">
        <v>40</v>
      </c>
      <c r="D11" s="14" t="n">
        <v>39</v>
      </c>
      <c r="E11" s="14" t="n">
        <v>38</v>
      </c>
      <c r="F11" s="14" t="n">
        <v>38</v>
      </c>
    </row>
    <row r="14">
      <c r="A14" s="5" t="inlineStr">
        <is>
          <t>RATIONALE</t>
        </is>
      </c>
    </row>
    <row r="15">
      <c r="A15" s="9" t="inlineStr">
        <is>
          <t>HDFC Bank post-merger is expected to maintain strong loan growth of 12-14% driven by India's economic growth and market share gains. NIM projected at 3.8-4.1%, slightly moderating from current levels due to competitive pressure but remaining among sector leaders. CASA ratio improvement from 43% to 47% as liability franchise strengthens post-integration. Credit costs normalize to 0.9-1.1% reflecting best-in-class underwriting. Cost-to-income improves to 38-41% through operating leverage and merger synergies. ROA of 2.0-2.2% and ROE of 16.5-18.5% positions HDFC Bank as sector leader in profitability metrics, supported by superior asset quality, liability franchise, and operational efficiency.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 linked to Assumptions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Revenue +</t>
        </is>
      </c>
      <c r="B5" s="15" t="n">
        <v>122189</v>
      </c>
      <c r="C5" s="15" t="n">
        <v>128552</v>
      </c>
      <c r="D5" s="15" t="n">
        <v>135936</v>
      </c>
      <c r="E5" s="15" t="n">
        <v>170754</v>
      </c>
      <c r="F5" s="15" t="n">
        <v>283649</v>
      </c>
      <c r="G5" s="16">
        <f>F5*1.10</f>
        <v/>
      </c>
      <c r="H5" s="16">
        <f>G5*1.10</f>
        <v/>
      </c>
      <c r="I5" s="16">
        <f>H5*1.10</f>
        <v/>
      </c>
      <c r="J5" s="16">
        <f>I5*1.10</f>
        <v/>
      </c>
      <c r="K5" s="16">
        <f>J5*1.10</f>
        <v/>
      </c>
    </row>
    <row r="6">
      <c r="A6" s="13" t="inlineStr">
        <is>
          <t>Interest</t>
        </is>
      </c>
      <c r="B6" s="15" t="n">
        <v>62137</v>
      </c>
      <c r="C6" s="15" t="n">
        <v>59248</v>
      </c>
      <c r="D6" s="15" t="n">
        <v>58584</v>
      </c>
      <c r="E6" s="15" t="n">
        <v>77780</v>
      </c>
      <c r="F6" s="15" t="n">
        <v>154139</v>
      </c>
      <c r="G6" s="16">
        <f>F6*(1+Assumptions!$B$5/100)</f>
        <v/>
      </c>
      <c r="H6" s="16">
        <f>G6*(1+Assumptions!$C$5/100)</f>
        <v/>
      </c>
      <c r="I6" s="16">
        <f>H6*(1+Assumptions!$D$5/100)</f>
        <v/>
      </c>
      <c r="J6" s="16">
        <f>I6*(1+Assumptions!$E$5/100)</f>
        <v/>
      </c>
      <c r="K6" s="16">
        <f>J6*(1+Assumptions!$F$5/100)</f>
        <v/>
      </c>
    </row>
    <row r="7">
      <c r="A7" s="13" t="inlineStr">
        <is>
          <t>Other Income +</t>
        </is>
      </c>
      <c r="B7" s="15" t="n">
        <v>24879</v>
      </c>
      <c r="C7" s="15" t="n">
        <v>27333</v>
      </c>
      <c r="D7" s="15" t="n">
        <v>31759</v>
      </c>
      <c r="E7" s="15" t="n">
        <v>33912</v>
      </c>
      <c r="F7" s="15" t="n">
        <v>124346</v>
      </c>
      <c r="G7" s="16">
        <f>F7*1.05</f>
        <v/>
      </c>
      <c r="H7" s="16">
        <f>G7*1.05</f>
        <v/>
      </c>
      <c r="I7" s="16">
        <f>H7*1.05</f>
        <v/>
      </c>
      <c r="J7" s="16">
        <f>I7*1.05</f>
        <v/>
      </c>
      <c r="K7" s="16">
        <f>J7*1.05</f>
        <v/>
      </c>
    </row>
    <row r="8">
      <c r="A8" s="17" t="inlineStr">
        <is>
          <t>Total Income</t>
        </is>
      </c>
      <c r="B8" s="18" t="n"/>
      <c r="C8" s="18" t="n"/>
      <c r="D8" s="18" t="n"/>
      <c r="E8" s="18" t="n"/>
      <c r="F8" s="18" t="n"/>
      <c r="G8" s="19">
        <f>G5+G6+G7</f>
        <v/>
      </c>
      <c r="H8" s="19">
        <f>H5+H6+H7</f>
        <v/>
      </c>
      <c r="I8" s="19">
        <f>I5+I6+I7</f>
        <v/>
      </c>
      <c r="J8" s="19">
        <f>J5+J6+J7</f>
        <v/>
      </c>
      <c r="K8" s="19">
        <f>K5+K6+K7</f>
        <v/>
      </c>
    </row>
    <row r="10">
      <c r="A10" s="13" t="inlineStr">
        <is>
          <t>Operating Expenses</t>
        </is>
      </c>
      <c r="B10" s="15" t="n">
        <v>45459</v>
      </c>
      <c r="C10" s="15" t="n">
        <v>52457</v>
      </c>
      <c r="D10" s="15" t="n">
        <v>56557</v>
      </c>
      <c r="E10" s="15" t="n">
        <v>63042</v>
      </c>
      <c r="F10" s="15" t="n">
        <v>174196</v>
      </c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Employee Cost</t>
        </is>
      </c>
      <c r="B11" s="18" t="n"/>
      <c r="C11" s="18" t="n"/>
      <c r="D11" s="18" t="n"/>
      <c r="E11" s="18" t="n"/>
      <c r="F11" s="18" t="n"/>
      <c r="G11" s="16">
        <f>F11*1.08</f>
        <v/>
      </c>
      <c r="H11" s="16">
        <f>G11*1.08</f>
        <v/>
      </c>
      <c r="I11" s="16">
        <f>H11*1.08</f>
        <v/>
      </c>
      <c r="J11" s="16">
        <f>I11*1.08</f>
        <v/>
      </c>
      <c r="K11" s="16">
        <f>J11*1.08</f>
        <v/>
      </c>
    </row>
    <row r="12">
      <c r="A12" s="13" t="inlineStr">
        <is>
          <t>Interest Expense</t>
        </is>
      </c>
      <c r="B12" s="15" t="n">
        <v>62137</v>
      </c>
      <c r="C12" s="15" t="n">
        <v>59248</v>
      </c>
      <c r="D12" s="15" t="n">
        <v>58584</v>
      </c>
      <c r="E12" s="15" t="n">
        <v>77780</v>
      </c>
      <c r="F12" s="15" t="n">
        <v>154139</v>
      </c>
      <c r="G12" s="16">
        <f>F12*1.06</f>
        <v/>
      </c>
      <c r="H12" s="16">
        <f>G12*1.06</f>
        <v/>
      </c>
      <c r="I12" s="16">
        <f>H12*1.06</f>
        <v/>
      </c>
      <c r="J12" s="16">
        <f>I12*1.06</f>
        <v/>
      </c>
      <c r="K12" s="16">
        <f>J12*1.06</f>
        <v/>
      </c>
    </row>
    <row r="13">
      <c r="A13" s="13" t="inlineStr">
        <is>
          <t>Depreciation</t>
        </is>
      </c>
      <c r="B13" s="15" t="n">
        <v>1277</v>
      </c>
      <c r="C13" s="15" t="n">
        <v>1385</v>
      </c>
      <c r="D13" s="15" t="n">
        <v>1681</v>
      </c>
      <c r="E13" s="15" t="n">
        <v>2345</v>
      </c>
      <c r="F13" s="15" t="n">
        <v>3092</v>
      </c>
      <c r="G13" s="16">
        <f>F13*1.05</f>
        <v/>
      </c>
      <c r="H13" s="16">
        <f>G13*1.05</f>
        <v/>
      </c>
      <c r="I13" s="16">
        <f>H13*1.05</f>
        <v/>
      </c>
      <c r="J13" s="16">
        <f>I13*1.05</f>
        <v/>
      </c>
      <c r="K13" s="16">
        <f>J13*1.05</f>
        <v/>
      </c>
    </row>
    <row r="14">
      <c r="A14" s="13" t="inlineStr">
        <is>
          <t>Other Expenses</t>
        </is>
      </c>
      <c r="B14" s="18" t="n"/>
      <c r="C14" s="18" t="n"/>
      <c r="D14" s="18" t="n"/>
      <c r="E14" s="18" t="n"/>
      <c r="F14" s="18" t="n"/>
      <c r="G14" s="16">
        <f>F14*1.07</f>
        <v/>
      </c>
      <c r="H14" s="16">
        <f>G14*1.07</f>
        <v/>
      </c>
      <c r="I14" s="16">
        <f>H14*1.07</f>
        <v/>
      </c>
      <c r="J14" s="16">
        <f>I14*1.07</f>
        <v/>
      </c>
      <c r="K14" s="16">
        <f>J14*1.07</f>
        <v/>
      </c>
    </row>
    <row r="15">
      <c r="A15" s="17" t="inlineStr">
        <is>
          <t>Total Expenses</t>
        </is>
      </c>
      <c r="B15" s="18" t="n"/>
      <c r="C15" s="18" t="n"/>
      <c r="D15" s="18" t="n"/>
      <c r="E15" s="18" t="n"/>
      <c r="F15" s="18" t="n"/>
      <c r="G15" s="19">
        <f>G10+G11+G12+G13+G14</f>
        <v/>
      </c>
      <c r="H15" s="19">
        <f>H10+H11+H12+H13+H14</f>
        <v/>
      </c>
      <c r="I15" s="19">
        <f>I10+I11+I12+I13+I14</f>
        <v/>
      </c>
      <c r="J15" s="19">
        <f>J10+J11+J12+J13+J14</f>
        <v/>
      </c>
      <c r="K15" s="19">
        <f>K10+K11+K12+K13+K14</f>
        <v/>
      </c>
    </row>
    <row r="17">
      <c r="A17" s="17" t="inlineStr">
        <is>
          <t>Profit before tax</t>
        </is>
      </c>
      <c r="B17" s="15" t="n">
        <v>38195</v>
      </c>
      <c r="C17" s="15" t="n">
        <v>42796</v>
      </c>
      <c r="D17" s="15" t="n">
        <v>50873</v>
      </c>
      <c r="E17" s="15" t="n">
        <v>61498</v>
      </c>
      <c r="F17" s="15" t="n">
        <v>76569</v>
      </c>
      <c r="G17" s="19">
        <f>G8-G15</f>
        <v/>
      </c>
      <c r="H17" s="19">
        <f>H8-H15</f>
        <v/>
      </c>
      <c r="I17" s="19">
        <f>I8-I15</f>
        <v/>
      </c>
      <c r="J17" s="19">
        <f>J8-J15</f>
        <v/>
      </c>
      <c r="K17" s="19">
        <f>K8-K15</f>
        <v/>
      </c>
    </row>
    <row r="18">
      <c r="A18" s="13" t="inlineStr">
        <is>
          <t>Tax %</t>
        </is>
      </c>
      <c r="B18" s="15" t="n">
        <v>29</v>
      </c>
      <c r="C18" s="15" t="n">
        <v>26</v>
      </c>
      <c r="D18" s="15" t="n">
        <v>25</v>
      </c>
      <c r="E18" s="15" t="n">
        <v>25</v>
      </c>
      <c r="F18" s="15" t="n">
        <v>15</v>
      </c>
      <c r="G18" s="16">
        <f>G17*0.25</f>
        <v/>
      </c>
      <c r="H18" s="16">
        <f>H17*0.25</f>
        <v/>
      </c>
      <c r="I18" s="16">
        <f>I17*0.25</f>
        <v/>
      </c>
      <c r="J18" s="16">
        <f>J17*0.25</f>
        <v/>
      </c>
      <c r="K18" s="16">
        <f>K17*0.25</f>
        <v/>
      </c>
    </row>
    <row r="19">
      <c r="A19" s="17" t="inlineStr">
        <is>
          <t>Net Profit +</t>
        </is>
      </c>
      <c r="B19" s="15" t="n">
        <v>27296</v>
      </c>
      <c r="C19" s="15" t="n">
        <v>31857</v>
      </c>
      <c r="D19" s="15" t="n">
        <v>38151</v>
      </c>
      <c r="E19" s="15" t="n">
        <v>46149</v>
      </c>
      <c r="F19" s="15" t="n">
        <v>65446</v>
      </c>
      <c r="G19" s="19">
        <f>G17-G18</f>
        <v/>
      </c>
      <c r="H19" s="19">
        <f>H17-H18</f>
        <v/>
      </c>
      <c r="I19" s="19">
        <f>I17-I18</f>
        <v/>
      </c>
      <c r="J19" s="19">
        <f>J17-J18</f>
        <v/>
      </c>
      <c r="K19" s="19">
        <f>K17-K18</f>
        <v/>
      </c>
    </row>
    <row r="21">
      <c r="A21" s="20" t="inlineStr">
        <is>
          <t>PAT YoY Growth (%)</t>
        </is>
      </c>
      <c r="C21" s="21">
        <f>(C19/B19-1)*100</f>
        <v/>
      </c>
      <c r="D21" s="21">
        <f>(D19/C19-1)*100</f>
        <v/>
      </c>
      <c r="E21" s="21">
        <f>(E19/D19-1)*100</f>
        <v/>
      </c>
      <c r="F21" s="21">
        <f>(F19/E19-1)*100</f>
        <v/>
      </c>
      <c r="G21" s="22">
        <f>(G19/F19-1)*100</f>
        <v/>
      </c>
      <c r="H21" s="22">
        <f>(H19/G19-1)*100</f>
        <v/>
      </c>
      <c r="I21" s="22">
        <f>(I19/H19-1)*100</f>
        <v/>
      </c>
      <c r="J21" s="22">
        <f>(J19/I19-1)*100</f>
        <v/>
      </c>
      <c r="K21" s="22">
        <f>(K19/J19-1)*100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ASSETS</t>
        </is>
      </c>
      <c r="B5" s="18" t="n"/>
      <c r="C5" s="18" t="n"/>
      <c r="D5" s="18" t="n"/>
      <c r="E5" s="18" t="n"/>
      <c r="F5" s="18" t="n"/>
      <c r="G5" s="16" t="n"/>
      <c r="H5" s="16" t="n"/>
      <c r="I5" s="16" t="n"/>
      <c r="J5" s="16" t="n"/>
      <c r="K5" s="16" t="n"/>
    </row>
    <row r="6">
      <c r="A6" s="13" t="inlineStr">
        <is>
          <t>Share Capital</t>
        </is>
      </c>
      <c r="B6" s="18" t="n"/>
      <c r="C6" s="18" t="n"/>
      <c r="D6" s="18" t="n"/>
      <c r="E6" s="18" t="n"/>
      <c r="F6" s="18" t="n"/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175810</v>
      </c>
      <c r="C7" s="15" t="n">
        <v>209259</v>
      </c>
      <c r="D7" s="15" t="n">
        <v>246772</v>
      </c>
      <c r="E7" s="15" t="n">
        <v>288880</v>
      </c>
      <c r="F7" s="15" t="n">
        <v>455636</v>
      </c>
      <c r="G7" s="16">
        <f>F7+'P&amp;L'!G19*0.7</f>
        <v/>
      </c>
      <c r="H7" s="16">
        <f>G7+'P&amp;L'!H19*0.7</f>
        <v/>
      </c>
      <c r="I7" s="16">
        <f>H7+'P&amp;L'!I19*0.7</f>
        <v/>
      </c>
      <c r="J7" s="16">
        <f>I7+'P&amp;L'!J19*0.7</f>
        <v/>
      </c>
      <c r="K7" s="16">
        <f>J7+'P&amp;L'!K19*0.7</f>
        <v/>
      </c>
    </row>
    <row r="8">
      <c r="A8" s="17" t="inlineStr">
        <is>
          <t>Total Equity</t>
        </is>
      </c>
      <c r="B8" s="18" t="n"/>
      <c r="C8" s="18" t="n"/>
      <c r="D8" s="18" t="n"/>
      <c r="E8" s="18" t="n"/>
      <c r="F8" s="18" t="n"/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Borrowings</t>
        </is>
      </c>
      <c r="B10" s="18" t="n"/>
      <c r="C10" s="18" t="n"/>
      <c r="D10" s="18" t="n"/>
      <c r="E10" s="18" t="n"/>
      <c r="F10" s="18" t="n"/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Other Liabilities</t>
        </is>
      </c>
      <c r="B11" s="18" t="n"/>
      <c r="C11" s="18" t="n"/>
      <c r="D11" s="18" t="n"/>
      <c r="E11" s="18" t="n"/>
      <c r="F11" s="18" t="n"/>
      <c r="G11" s="16">
        <f>F11*1.06</f>
        <v/>
      </c>
      <c r="H11" s="16">
        <f>G11*1.06</f>
        <v/>
      </c>
      <c r="I11" s="16">
        <f>H11*1.06</f>
        <v/>
      </c>
      <c r="J11" s="16">
        <f>I11*1.06</f>
        <v/>
      </c>
      <c r="K11" s="16">
        <f>J11*1.06</f>
        <v/>
      </c>
    </row>
    <row r="12">
      <c r="A12" s="17" t="inlineStr">
        <is>
          <t>Total Liabilities</t>
        </is>
      </c>
      <c r="B12" s="15" t="n">
        <v>1580830</v>
      </c>
      <c r="C12" s="15" t="n">
        <v>1799507</v>
      </c>
      <c r="D12" s="15" t="n">
        <v>2122934</v>
      </c>
      <c r="E12" s="15" t="n">
        <v>2530432</v>
      </c>
      <c r="F12" s="15" t="n">
        <v>4030194</v>
      </c>
      <c r="G12" s="19">
        <f>G10+G11</f>
        <v/>
      </c>
      <c r="H12" s="19">
        <f>H10+H11</f>
        <v/>
      </c>
      <c r="I12" s="19">
        <f>I10+I11</f>
        <v/>
      </c>
      <c r="J12" s="19">
        <f>J10+J11</f>
        <v/>
      </c>
      <c r="K12" s="19">
        <f>K10+K11</f>
        <v/>
      </c>
    </row>
    <row r="14">
      <c r="A14" s="13" t="inlineStr">
        <is>
          <t>Fixed Assets</t>
        </is>
      </c>
      <c r="B14" s="18" t="n"/>
      <c r="C14" s="18" t="n"/>
      <c r="D14" s="18" t="n"/>
      <c r="E14" s="18" t="n"/>
      <c r="F14" s="18" t="n"/>
      <c r="G14" s="16">
        <f>F14*1.05</f>
        <v/>
      </c>
      <c r="H14" s="16">
        <f>G14*1.05</f>
        <v/>
      </c>
      <c r="I14" s="16">
        <f>H14*1.05</f>
        <v/>
      </c>
      <c r="J14" s="16">
        <f>I14*1.05</f>
        <v/>
      </c>
      <c r="K14" s="16">
        <f>J14*1.05</f>
        <v/>
      </c>
    </row>
    <row r="15">
      <c r="A15" s="13" t="inlineStr">
        <is>
          <t>Investments</t>
        </is>
      </c>
      <c r="B15" s="15" t="n">
        <v>389305</v>
      </c>
      <c r="C15" s="15" t="n">
        <v>438823</v>
      </c>
      <c r="D15" s="15" t="n">
        <v>449264</v>
      </c>
      <c r="E15" s="15" t="n">
        <v>511582</v>
      </c>
      <c r="F15" s="15" t="n">
        <v>1005682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Advances/Loans</t>
        </is>
      </c>
      <c r="B16" s="18" t="n"/>
      <c r="C16" s="18" t="n"/>
      <c r="D16" s="18" t="n"/>
      <c r="E16" s="18" t="n"/>
      <c r="F16" s="18" t="n"/>
      <c r="G16" s="16">
        <f>F16*(1+Assumptions!$B$5/100)</f>
        <v/>
      </c>
      <c r="H16" s="16">
        <f>G16*(1+Assumptions!$C$5/100)</f>
        <v/>
      </c>
      <c r="I16" s="16">
        <f>H16*(1+Assumptions!$D$5/100)</f>
        <v/>
      </c>
      <c r="J16" s="16">
        <f>I16*(1+Assumptions!$E$5/100)</f>
        <v/>
      </c>
      <c r="K16" s="16">
        <f>J16*(1+Assumptions!$F$5/100)</f>
        <v/>
      </c>
    </row>
    <row r="17">
      <c r="A17" s="13" t="inlineStr">
        <is>
          <t>Other Assets</t>
        </is>
      </c>
      <c r="B17" s="18" t="n"/>
      <c r="C17" s="18" t="n"/>
      <c r="D17" s="18" t="n"/>
      <c r="E17" s="18" t="n"/>
      <c r="F17" s="18" t="n"/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7" t="inlineStr">
        <is>
          <t>Total Assets</t>
        </is>
      </c>
      <c r="B18" s="15" t="n">
        <v>1580830</v>
      </c>
      <c r="C18" s="15" t="n">
        <v>1799507</v>
      </c>
      <c r="D18" s="15" t="n">
        <v>2122934</v>
      </c>
      <c r="E18" s="15" t="n">
        <v>2530432</v>
      </c>
      <c r="F18" s="15" t="n">
        <v>4030194</v>
      </c>
      <c r="G18" s="19">
        <f>G8+G12</f>
        <v/>
      </c>
      <c r="H18" s="19">
        <f>H8+H12</f>
        <v/>
      </c>
      <c r="I18" s="19">
        <f>I8+I12</f>
        <v/>
      </c>
      <c r="J18" s="19">
        <f>J8+J12</f>
        <v/>
      </c>
      <c r="K18" s="19">
        <f>K8+K12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3" t="inlineStr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>
      <c r="A6" s="23" t="inlineStr">
        <is>
          <t>PROFITABILITY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>
      <c r="A7" s="13" t="inlineStr">
        <is>
          <t>Net Profit (PAT)</t>
        </is>
      </c>
      <c r="B7" s="25">
        <f>'P&amp;L'!B19</f>
        <v/>
      </c>
      <c r="C7" s="25">
        <f>'P&amp;L'!C19</f>
        <v/>
      </c>
      <c r="D7" s="25">
        <f>'P&amp;L'!D19</f>
        <v/>
      </c>
      <c r="E7" s="25">
        <f>'P&amp;L'!E19</f>
        <v/>
      </c>
      <c r="F7" s="25">
        <f>'P&amp;L'!F19</f>
        <v/>
      </c>
      <c r="G7" s="26">
        <f>'P&amp;L'!G19</f>
        <v/>
      </c>
      <c r="H7" s="26">
        <f>'P&amp;L'!H19</f>
        <v/>
      </c>
      <c r="I7" s="26">
        <f>'P&amp;L'!I19</f>
        <v/>
      </c>
      <c r="J7" s="26">
        <f>'P&amp;L'!J19</f>
        <v/>
      </c>
      <c r="K7" s="26">
        <f>'P&amp;L'!K19</f>
        <v/>
      </c>
    </row>
    <row r="8">
      <c r="A8" s="13" t="inlineStr">
        <is>
          <t>Revenue</t>
        </is>
      </c>
      <c r="B8" s="25">
        <f>'P&amp;L'!B5</f>
        <v/>
      </c>
      <c r="C8" s="25">
        <f>'P&amp;L'!C5</f>
        <v/>
      </c>
      <c r="D8" s="25">
        <f>'P&amp;L'!D5</f>
        <v/>
      </c>
      <c r="E8" s="25">
        <f>'P&amp;L'!E5</f>
        <v/>
      </c>
      <c r="F8" s="25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  <c r="K8" s="26">
        <f>'P&amp;L'!K5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7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  <c r="K9" s="28">
        <f>IF(K8=0,0,K7/K8*100)</f>
        <v/>
      </c>
    </row>
    <row r="11">
      <c r="A11" s="23" t="inlineStr">
        <is>
          <t>EFFICIENCY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>
      <c r="A12" s="13" t="inlineStr">
        <is>
          <t>Revenue</t>
        </is>
      </c>
      <c r="B12" s="25">
        <f>'P&amp;L'!B5</f>
        <v/>
      </c>
      <c r="C12" s="25">
        <f>'P&amp;L'!C5</f>
        <v/>
      </c>
      <c r="D12" s="25">
        <f>'P&amp;L'!D5</f>
        <v/>
      </c>
      <c r="E12" s="25">
        <f>'P&amp;L'!E5</f>
        <v/>
      </c>
      <c r="F12" s="25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  <c r="K12" s="26">
        <f>'P&amp;L'!K5</f>
        <v/>
      </c>
    </row>
    <row r="13">
      <c r="A13" s="13" t="inlineStr">
        <is>
          <t>Average Total Assets</t>
        </is>
      </c>
      <c r="B13" s="25">
        <f>'Balance Sheet'!B18</f>
        <v/>
      </c>
      <c r="C13" s="25">
        <f>('Balance Sheet'!C18+'Balance Sheet'!B18)/2</f>
        <v/>
      </c>
      <c r="D13" s="25">
        <f>('Balance Sheet'!D18+'Balance Sheet'!C18)/2</f>
        <v/>
      </c>
      <c r="E13" s="25">
        <f>('Balance Sheet'!E18+'Balance Sheet'!D18)/2</f>
        <v/>
      </c>
      <c r="F13" s="25">
        <f>('Balance Sheet'!F18+'Balance Sheet'!E18)/2</f>
        <v/>
      </c>
      <c r="G13" s="26">
        <f>('Balance Sheet'!G18+'Balance Sheet'!F18)/2</f>
        <v/>
      </c>
      <c r="H13" s="26">
        <f>('Balance Sheet'!H18+'Balance Sheet'!G18)/2</f>
        <v/>
      </c>
      <c r="I13" s="26">
        <f>('Balance Sheet'!I18+'Balance Sheet'!H18)/2</f>
        <v/>
      </c>
      <c r="J13" s="26">
        <f>('Balance Sheet'!J18+'Balance Sheet'!I18)/2</f>
        <v/>
      </c>
      <c r="K13" s="26">
        <f>('Balance Sheet'!K18+'Balance Sheet'!J18)/2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7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  <c r="K14" s="28">
        <f>IF(K13=0,0,K12/K13)</f>
        <v/>
      </c>
    </row>
    <row r="16">
      <c r="A16" s="23" t="inlineStr">
        <is>
          <t>LEVERAGE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13" t="inlineStr">
        <is>
          <t>Average Total Assets</t>
        </is>
      </c>
      <c r="B17" s="25">
        <f>'Balance Sheet'!B18</f>
        <v/>
      </c>
      <c r="C17" s="25">
        <f>('Balance Sheet'!C18+'Balance Sheet'!B18)/2</f>
        <v/>
      </c>
      <c r="D17" s="25">
        <f>('Balance Sheet'!D18+'Balance Sheet'!C18)/2</f>
        <v/>
      </c>
      <c r="E17" s="25">
        <f>('Balance Sheet'!E18+'Balance Sheet'!D18)/2</f>
        <v/>
      </c>
      <c r="F17" s="25">
        <f>('Balance Sheet'!F18+'Balance Sheet'!E18)/2</f>
        <v/>
      </c>
      <c r="G17" s="26">
        <f>('Balance Sheet'!G18+'Balance Sheet'!F18)/2</f>
        <v/>
      </c>
      <c r="H17" s="26">
        <f>('Balance Sheet'!H18+'Balance Sheet'!G18)/2</f>
        <v/>
      </c>
      <c r="I17" s="26">
        <f>('Balance Sheet'!I18+'Balance Sheet'!H18)/2</f>
        <v/>
      </c>
      <c r="J17" s="26">
        <f>('Balance Sheet'!J18+'Balance Sheet'!I18)/2</f>
        <v/>
      </c>
      <c r="K17" s="26">
        <f>('Balance Sheet'!K18+'Balance Sheet'!J18)/2</f>
        <v/>
      </c>
    </row>
    <row r="18">
      <c r="A18" s="13" t="inlineStr">
        <is>
          <t>Average Equity</t>
        </is>
      </c>
      <c r="B18" s="25">
        <f>'Balance Sheet'!B8</f>
        <v/>
      </c>
      <c r="C18" s="25">
        <f>('Balance Sheet'!C8+'Balance Sheet'!B8)/2</f>
        <v/>
      </c>
      <c r="D18" s="25">
        <f>('Balance Sheet'!D8+'Balance Sheet'!C8)/2</f>
        <v/>
      </c>
      <c r="E18" s="25">
        <f>('Balance Sheet'!E8+'Balance Sheet'!D8)/2</f>
        <v/>
      </c>
      <c r="F18" s="25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  <c r="K18" s="26">
        <f>('Balance Sheet'!K8+'Balance Sheet'!J8)/2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7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  <c r="K19" s="28">
        <f>IF(K18=0,0,K17/K18)</f>
        <v/>
      </c>
    </row>
    <row r="21">
      <c r="A21" s="23" t="inlineStr">
        <is>
          <t>ROE CALCULATION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29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  <c r="K22" s="30">
        <f>IF(K18=0,0,K7/K18*100)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1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  <c r="K23" s="32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75039</v>
      </c>
      <c r="C4" s="15" t="n">
        <v>83002</v>
      </c>
      <c r="D4" s="15" t="n">
        <v>86994</v>
      </c>
      <c r="E4" s="15" t="n">
        <v>47548</v>
      </c>
      <c r="F4" s="15" t="n">
        <v>79434</v>
      </c>
      <c r="G4" s="15" t="n">
        <v>86779</v>
      </c>
      <c r="H4" s="15" t="n">
        <v>45002</v>
      </c>
      <c r="I4" s="15" t="n">
        <v>78008</v>
      </c>
      <c r="J4" s="15" t="n">
        <v>85040</v>
      </c>
      <c r="K4" s="15" t="n">
        <v>51168</v>
      </c>
      <c r="L4" s="15" t="n">
        <v>81546</v>
      </c>
      <c r="M4" s="15" t="n">
        <v>87372</v>
      </c>
    </row>
    <row r="5">
      <c r="A5" s="13" t="inlineStr">
        <is>
          <t>Interest</t>
        </is>
      </c>
      <c r="B5" s="15" t="n">
        <v>41250</v>
      </c>
      <c r="C5" s="15" t="n">
        <v>45414</v>
      </c>
      <c r="D5" s="15" t="n">
        <v>46741</v>
      </c>
      <c r="E5" s="15" t="n">
        <v>22606</v>
      </c>
      <c r="F5" s="15" t="n">
        <v>43692</v>
      </c>
      <c r="G5" s="15" t="n">
        <v>46986</v>
      </c>
      <c r="H5" s="15" t="n">
        <v>20505</v>
      </c>
      <c r="I5" s="15" t="n">
        <v>43242</v>
      </c>
      <c r="J5" s="15" t="n">
        <v>46914</v>
      </c>
      <c r="K5" s="15" t="n">
        <v>25955</v>
      </c>
      <c r="L5" s="15" t="n">
        <v>44580</v>
      </c>
      <c r="M5" s="15" t="n">
        <v>47709</v>
      </c>
    </row>
    <row r="6">
      <c r="A6" s="13" t="inlineStr">
        <is>
          <t>Expenses +</t>
        </is>
      </c>
      <c r="B6" s="15" t="n">
        <v>45349</v>
      </c>
      <c r="C6" s="15" t="n">
        <v>52074</v>
      </c>
      <c r="D6" s="15" t="n">
        <v>45161</v>
      </c>
      <c r="E6" s="15" t="n">
        <v>17770</v>
      </c>
      <c r="F6" s="15" t="n">
        <v>62938</v>
      </c>
      <c r="G6" s="15" t="n">
        <v>47709</v>
      </c>
      <c r="H6" s="15" t="n">
        <v>16682</v>
      </c>
      <c r="I6" s="15" t="n">
        <v>50530</v>
      </c>
      <c r="J6" s="15" t="n">
        <v>41307</v>
      </c>
      <c r="K6" s="15" t="n">
        <v>18470</v>
      </c>
      <c r="L6" s="15" t="n">
        <v>49690</v>
      </c>
      <c r="M6" s="15" t="n">
        <v>64497</v>
      </c>
    </row>
    <row r="7">
      <c r="A7" s="13" t="inlineStr">
        <is>
          <t>Financing Profit</t>
        </is>
      </c>
      <c r="B7" s="15" t="n">
        <v>-11560</v>
      </c>
      <c r="C7" s="15" t="n">
        <v>-14487</v>
      </c>
      <c r="D7" s="15" t="n">
        <v>-4908</v>
      </c>
      <c r="E7" s="15" t="n">
        <v>7172</v>
      </c>
      <c r="F7" s="15" t="n">
        <v>-27196</v>
      </c>
      <c r="G7" s="15" t="n">
        <v>-7916</v>
      </c>
      <c r="H7" s="15" t="n">
        <v>7815</v>
      </c>
      <c r="I7" s="15" t="n">
        <v>-15764</v>
      </c>
      <c r="J7" s="15" t="n">
        <v>-3181</v>
      </c>
      <c r="K7" s="15" t="n">
        <v>6744</v>
      </c>
      <c r="L7" s="15" t="n">
        <v>-12723</v>
      </c>
      <c r="M7" s="15" t="n">
        <v>-24833</v>
      </c>
    </row>
    <row r="8">
      <c r="A8" s="13" t="inlineStr">
        <is>
          <t>Financing Margin %</t>
        </is>
      </c>
      <c r="B8" s="15" t="n">
        <v>-15</v>
      </c>
      <c r="C8" s="15" t="n">
        <v>-17</v>
      </c>
      <c r="D8" s="15" t="n">
        <v>-6</v>
      </c>
      <c r="E8" s="15" t="n">
        <v>15</v>
      </c>
      <c r="F8" s="15" t="n">
        <v>-34</v>
      </c>
      <c r="G8" s="15" t="n">
        <v>-9</v>
      </c>
      <c r="H8" s="15" t="n">
        <v>17</v>
      </c>
      <c r="I8" s="15" t="n">
        <v>-20</v>
      </c>
      <c r="J8" s="15" t="n">
        <v>-4</v>
      </c>
      <c r="K8" s="15" t="n">
        <v>13</v>
      </c>
      <c r="L8" s="15" t="n">
        <v>-16</v>
      </c>
      <c r="M8" s="15" t="n">
        <v>-28</v>
      </c>
    </row>
    <row r="9">
      <c r="A9" s="13" t="inlineStr">
        <is>
          <t>Other Income +</t>
        </is>
      </c>
      <c r="B9" s="15" t="n">
        <v>32528</v>
      </c>
      <c r="C9" s="15" t="n">
        <v>38455</v>
      </c>
      <c r="D9" s="15" t="n">
        <v>31567</v>
      </c>
      <c r="E9" s="15" t="n">
        <v>9610</v>
      </c>
      <c r="F9" s="15" t="n">
        <v>44958</v>
      </c>
      <c r="G9" s="15" t="n">
        <v>33489</v>
      </c>
      <c r="H9" s="15" t="n">
        <v>9121</v>
      </c>
      <c r="I9" s="15" t="n">
        <v>37007</v>
      </c>
      <c r="J9" s="15" t="n">
        <v>27154</v>
      </c>
      <c r="K9" s="15" t="n">
        <v>9853</v>
      </c>
      <c r="L9" s="15" t="n">
        <v>35450</v>
      </c>
      <c r="M9" s="15" t="n">
        <v>45683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20967</v>
      </c>
      <c r="C11" s="15" t="n">
        <v>23968</v>
      </c>
      <c r="D11" s="15" t="n">
        <v>26659</v>
      </c>
      <c r="E11" s="15" t="n">
        <v>16783</v>
      </c>
      <c r="F11" s="15" t="n">
        <v>17761</v>
      </c>
      <c r="G11" s="15" t="n">
        <v>25573</v>
      </c>
      <c r="H11" s="15" t="n">
        <v>16936</v>
      </c>
      <c r="I11" s="15" t="n">
        <v>21243</v>
      </c>
      <c r="J11" s="15" t="n">
        <v>23973</v>
      </c>
      <c r="K11" s="15" t="n">
        <v>16597</v>
      </c>
      <c r="L11" s="15" t="n">
        <v>22727</v>
      </c>
      <c r="M11" s="15" t="n">
        <v>20850</v>
      </c>
    </row>
    <row r="12">
      <c r="A12" s="13" t="inlineStr">
        <is>
          <t>Tax %</t>
        </is>
      </c>
      <c r="B12" s="15" t="n">
        <v>17</v>
      </c>
      <c r="C12" s="15" t="n">
        <v>22</v>
      </c>
      <c r="D12" s="15" t="n">
        <v>24</v>
      </c>
      <c r="E12" s="15" t="n">
        <v>25</v>
      </c>
      <c r="F12" s="15" t="n">
        <v>-1</v>
      </c>
      <c r="G12" s="15" t="n">
        <v>25</v>
      </c>
      <c r="H12" s="15" t="n">
        <v>25</v>
      </c>
      <c r="I12" s="15" t="n">
        <v>17</v>
      </c>
      <c r="J12" s="15" t="n">
        <v>24</v>
      </c>
      <c r="K12" s="15" t="n">
        <v>25</v>
      </c>
      <c r="L12" s="15" t="n">
        <v>24</v>
      </c>
      <c r="M12" s="15" t="n">
        <v>18</v>
      </c>
    </row>
    <row r="13">
      <c r="A13" s="13" t="inlineStr">
        <is>
          <t>Net Profit +</t>
        </is>
      </c>
      <c r="B13" s="15" t="n">
        <v>17312</v>
      </c>
      <c r="C13" s="15" t="n">
        <v>18627</v>
      </c>
      <c r="D13" s="15" t="n">
        <v>20364</v>
      </c>
      <c r="E13" s="15" t="n">
        <v>12634</v>
      </c>
      <c r="F13" s="15" t="n">
        <v>18013</v>
      </c>
      <c r="G13" s="15" t="n">
        <v>19285</v>
      </c>
      <c r="H13" s="15" t="n">
        <v>12735</v>
      </c>
      <c r="I13" s="15" t="n">
        <v>17718</v>
      </c>
      <c r="J13" s="15" t="n">
        <v>18340</v>
      </c>
      <c r="K13" s="15" t="n">
        <v>12403</v>
      </c>
      <c r="L13" s="15" t="n">
        <v>17188</v>
      </c>
      <c r="M13" s="15" t="n">
        <v>17090</v>
      </c>
    </row>
    <row r="14">
      <c r="A14" s="13" t="inlineStr">
        <is>
          <t>EPS in Rs</t>
        </is>
      </c>
      <c r="B14" s="15" t="n">
        <v>11.09</v>
      </c>
      <c r="C14" s="15" t="n">
        <v>11.68</v>
      </c>
      <c r="D14" s="15" t="n">
        <v>12.76</v>
      </c>
      <c r="E14" s="15" t="n">
        <v>11.29</v>
      </c>
      <c r="F14" s="15" t="n">
        <v>11.6</v>
      </c>
      <c r="G14" s="15" t="n">
        <v>12.31</v>
      </c>
      <c r="H14" s="15" t="n">
        <v>11.39</v>
      </c>
      <c r="I14" s="15" t="n">
        <v>11.37</v>
      </c>
      <c r="J14" s="15" t="n">
        <v>11.54</v>
      </c>
      <c r="K14" s="15" t="n">
        <v>11.06</v>
      </c>
      <c r="L14" s="15" t="n">
        <v>10.83</v>
      </c>
      <c r="M14" s="15" t="n">
        <v>10.6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3" t="n">
        <v>20</v>
      </c>
      <c r="C4" s="33" t="n">
        <v>19</v>
      </c>
      <c r="D4" s="33" t="n">
        <v>18</v>
      </c>
      <c r="E4" s="33" t="n">
        <v>18</v>
      </c>
      <c r="F4" s="33" t="n">
        <v>17</v>
      </c>
      <c r="G4" s="33" t="n">
        <v>16</v>
      </c>
      <c r="H4" s="33" t="n">
        <v>16</v>
      </c>
      <c r="I4" s="33" t="n">
        <v>17</v>
      </c>
      <c r="J4" s="33" t="n">
        <v>17</v>
      </c>
      <c r="K4" s="3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</cols>
  <sheetData>
    <row r="1">
      <c r="A1" s="10" t="inlineStr">
        <is>
          <t>VALUATION</t>
        </is>
      </c>
    </row>
    <row r="3">
      <c r="A3" s="5" t="inlineStr">
        <is>
          <t>RESIDUAL INCOME VALUATION (RIV)</t>
        </is>
      </c>
    </row>
    <row r="5">
      <c r="A5" s="12" t="inlineStr">
        <is>
          <t>Parameter</t>
        </is>
      </c>
      <c r="B5" s="12" t="inlineStr">
        <is>
          <t>Value</t>
        </is>
      </c>
      <c r="C5" s="12" t="inlineStr">
        <is>
          <t>Formula/Note</t>
        </is>
      </c>
    </row>
    <row r="6">
      <c r="A6" s="13" t="inlineStr">
        <is>
          <t>Risk-Free Rate (Rf)</t>
        </is>
      </c>
      <c r="B6" s="25" t="inlineStr">
        <is>
          <t>7.0%</t>
        </is>
      </c>
      <c r="C6" s="34" t="inlineStr">
        <is>
          <t>10-year G-Sec yield</t>
        </is>
      </c>
    </row>
    <row r="7">
      <c r="A7" s="13" t="inlineStr">
        <is>
          <t>Equity Risk Premium</t>
        </is>
      </c>
      <c r="B7" s="25" t="inlineStr">
        <is>
          <t>6.0%</t>
        </is>
      </c>
      <c r="C7" s="34" t="inlineStr">
        <is>
          <t>India market premium</t>
        </is>
      </c>
    </row>
    <row r="8">
      <c r="A8" s="13" t="inlineStr">
        <is>
          <t>Beta</t>
        </is>
      </c>
      <c r="B8" s="25" t="inlineStr">
        <is>
          <t>1.0</t>
        </is>
      </c>
      <c r="C8" s="34" t="inlineStr">
        <is>
          <t>Large-cap bank assumption</t>
        </is>
      </c>
    </row>
    <row r="9">
      <c r="A9" s="13" t="inlineStr">
        <is>
          <t>Cost of Equity (Ke)</t>
        </is>
      </c>
      <c r="B9" s="25" t="inlineStr">
        <is>
          <t>13.0%</t>
        </is>
      </c>
      <c r="C9" s="34">
        <f>Rf + Beta*ERP</f>
        <v/>
      </c>
    </row>
    <row r="10">
      <c r="A10" s="13" t="inlineStr">
        <is>
          <t>Terminal Growth (g)</t>
        </is>
      </c>
      <c r="B10" s="25" t="inlineStr">
        <is>
          <t>4.0%</t>
        </is>
      </c>
      <c r="C10" s="34" t="inlineStr">
        <is>
          <t>Long-term GDP growth</t>
        </is>
      </c>
    </row>
    <row r="11">
      <c r="A11" s="13" t="inlineStr"/>
      <c r="B11" s="25" t="inlineStr"/>
      <c r="C11" s="34" t="inlineStr"/>
    </row>
    <row r="12">
      <c r="A12" s="13" t="inlineStr">
        <is>
          <t>Current Book Value</t>
        </is>
      </c>
      <c r="B12" s="25" t="inlineStr">
        <is>
          <t>Rs.0</t>
        </is>
      </c>
      <c r="C12" s="34" t="inlineStr">
        <is>
          <t>From Screener</t>
        </is>
      </c>
    </row>
    <row r="13">
      <c r="A13" s="13" t="inlineStr">
        <is>
          <t>Sustainable ROE</t>
        </is>
      </c>
      <c r="B13" s="25" t="inlineStr">
        <is>
          <t>15%</t>
        </is>
      </c>
      <c r="C13" s="34" t="inlineStr">
        <is>
          <t>From assumptions</t>
        </is>
      </c>
    </row>
    <row r="14">
      <c r="A14" s="13" t="inlineStr"/>
      <c r="B14" s="25" t="inlineStr"/>
      <c r="C14" s="34" t="inlineStr"/>
    </row>
    <row r="15">
      <c r="A15" s="17" t="inlineStr">
        <is>
          <t>Fair Value per Share</t>
        </is>
      </c>
      <c r="B15" s="35" t="inlineStr">
        <is>
          <t>Rs.1,825</t>
        </is>
      </c>
      <c r="C15" s="34">
        <f>BV + RI/(Ke-g)</f>
        <v/>
      </c>
    </row>
    <row r="16">
      <c r="A16" s="13" t="inlineStr">
        <is>
          <t>Current Market Price</t>
        </is>
      </c>
      <c r="B16" s="25" t="inlineStr">
        <is>
          <t>Rs.1,742.85</t>
        </is>
      </c>
      <c r="C16" s="34" t="inlineStr">
        <is>
          <t>Live price</t>
        </is>
      </c>
    </row>
    <row r="17">
      <c r="A17" s="17" t="inlineStr">
        <is>
          <t>Target Price</t>
        </is>
      </c>
      <c r="B17" s="35" t="inlineStr">
        <is>
          <t>Rs.1,850</t>
        </is>
      </c>
      <c r="C17" s="34" t="inlineStr">
        <is>
          <t>12-month target</t>
        </is>
      </c>
    </row>
    <row r="18">
      <c r="A18" s="17" t="inlineStr">
        <is>
          <t>Upside/Downside</t>
        </is>
      </c>
      <c r="B18" s="35" t="inlineStr">
        <is>
          <t>6.1%</t>
        </is>
      </c>
      <c r="C18" s="34">
        <f>(TP-CMP)/CMP</f>
        <v/>
      </c>
    </row>
    <row r="21">
      <c r="A21" s="5" t="inlineStr">
        <is>
          <t>RECOMMENDATION</t>
        </is>
      </c>
    </row>
    <row r="22">
      <c r="A22" s="36" t="inlineStr">
        <is>
          <t>HOLD</t>
        </is>
      </c>
    </row>
    <row r="24">
      <c r="A24" s="9" t="inlineStr">
        <is>
          <t>HDFC Bank's ROE of 16.5% exceeds cost of equity of 13%, generating positive residual income. Fair value indicates modest upside of ~6%, suggesting current valuation is reasonable but not compelling for aggressive buying given the premium banking sector multiples.</t>
        </is>
      </c>
    </row>
  </sheetData>
  <mergeCells count="1"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37" t="inlineStr">
        <is>
          <t>S.No.</t>
        </is>
      </c>
    </row>
    <row r="5">
      <c r="A5" s="37" t="inlineStr">
        <is>
          <t>1.</t>
        </is>
      </c>
    </row>
    <row r="6">
      <c r="A6" s="37" t="inlineStr">
        <is>
          <t>2.</t>
        </is>
      </c>
    </row>
    <row r="7">
      <c r="A7" s="37" t="inlineStr">
        <is>
          <t>3.</t>
        </is>
      </c>
    </row>
    <row r="8">
      <c r="A8" s="37" t="inlineStr">
        <is>
          <t>4.</t>
        </is>
      </c>
    </row>
    <row r="9">
      <c r="A9" s="37" t="inlineStr">
        <is>
          <t>5.</t>
        </is>
      </c>
    </row>
    <row r="10">
      <c r="A10" s="37" t="inlineStr">
        <is>
          <t>6.</t>
        </is>
      </c>
    </row>
    <row r="11">
      <c r="A11" s="37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HDFC Bank Ltd (HDFCBANK)</t>
        </is>
      </c>
    </row>
    <row r="4">
      <c r="A4" s="38" t="inlineStr">
        <is>
          <t>HOLD | Target: Rs.1,850 | Upside: 6.1%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21.0% CAGR over last 5 years</t>
        </is>
      </c>
    </row>
    <row r="9">
      <c r="A9" s="9" t="inlineStr">
        <is>
          <t>* Company has been maintaining a healthy dividend payout of 23.3%</t>
        </is>
      </c>
    </row>
    <row r="10">
      <c r="A10" s="9" t="inlineStr">
        <is>
          <t>* Company's median sales growth is 16.4% of last 10 years</t>
        </is>
      </c>
    </row>
    <row r="12">
      <c r="A12" s="5" t="inlineStr">
        <is>
          <t>RISKS (from Screener.in)</t>
        </is>
      </c>
    </row>
    <row r="13">
      <c r="A13" s="9" t="inlineStr">
        <is>
          <t>* Stock is trading at 2.50 times its book value</t>
        </is>
      </c>
    </row>
    <row r="14">
      <c r="A14" s="9" t="inlineStr">
        <is>
          <t>* Company has low interest coverage ratio.</t>
        </is>
      </c>
    </row>
    <row r="15">
      <c r="A15" s="9" t="inlineStr">
        <is>
          <t>* Contingent liabilities of Rs.27,80,601 Cr.</t>
        </is>
      </c>
    </row>
    <row r="16">
      <c r="A16" s="9" t="inlineStr">
        <is>
          <t>* Earnings include an other income of Rs.1,50,600 Cr.</t>
        </is>
      </c>
    </row>
    <row r="19">
      <c r="A19" s="5" t="inlineStr">
        <is>
          <t>DETAILED ANALYSIS</t>
        </is>
      </c>
    </row>
    <row r="20" ht="300" customHeight="1">
      <c r="A20" s="39" t="inlineStr">
        <is>
          <t>## HDFC BANK LTD (HDFCBANK) | HOLD | TP: ₹1,850
**RECOMMENDATION SUMMARY**
We maintain a HOLD rating on HDFC Bank with a target price of ₹1,850, implying 6.1% upside from current levels. Limited near-term appreciation potential given post-merger integration challenges and valuation at sector premiums.
**INVESTMENT CASE**
• **Merger integration progressing**: The HDFC Ltd merger has created India's largest private sector bank with expanded balance sheet scale and cross-selling opportunities, though operating efficiency metrics remain under pressure during the transition period
• **Strong liability franchise**: Best-in-class CASA ratio among large private banks provides sustainable low-cost funding advantage, critical for maintaining NIMs in a competitive lending environment
• **Asset quality resilience**: Credit costs remain contained with GNPA/NNPA ratios below peer averages, supported by robust underwriting standards and diversified loan book across retail, SME, and corporate segments
• **Digital transformation**: Continued investments in technology infrastructure and digital banking capabilities position the bank well for market share gains among younger demographics and urban markets
**KEY RISKS**
• **Margin pressure**: Elevated CD ratio post-merger (approaching 110%) constrains lending growth and pressures margins until deposit mobilization catches up with loan book expansion
• **Integration execution risk**: Operational complexities from systems integration, branch rationalization, and cultural alignment could impact service quality and productivity metrics over 12-18 months
• **Regulatory overhang**: Heightened RBI scrutiny on large banks regarding digital banking outages, lending practices, and systemic importance requirements may lead to higher compliance costs
**VALUATION**
Our TP of ₹1,850 is based on 2.8x FY26E P/B, broadly in line with the stock's 5-year average multiple. While HDFC Bank historically commanded premium valuations versus peers, we apply limited multiple expansion given near-term earnings dilution from merger accounting and deposit growth imperatives. The valuation reflects the franchise's long-term quality but acknowledges execution risks and muted 12-month return potential. Current risk-reward favors waiting for a better entry point.
---
*Note: For accumulation on dips below ₹1,650*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2026-02-22T10:50:56Z</dcterms:created>
  <dcterms:modified xmlns:dcterms="http://purl.org/dc/terms/" xmlns:xsi="http://www.w3.org/2001/XMLSchema-instance" xsi:type="dcterms:W3CDTF">2026-02-22T10:50:56Z</dcterms:modified>
</cp:coreProperties>
</file>