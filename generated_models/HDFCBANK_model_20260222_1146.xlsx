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0" fontId="12" fillId="0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11:46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Rs.1,322,367 Cr</t>
        </is>
      </c>
    </row>
    <row r="10">
      <c r="A10" t="inlineStr">
        <is>
          <t>Current Price</t>
        </is>
      </c>
      <c r="B10" s="6" t="inlineStr">
        <is>
          <t>Rs.1,737.85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Rs.1,845</t>
        </is>
      </c>
    </row>
    <row r="16">
      <c r="A16" t="inlineStr">
        <is>
          <t>Upside</t>
        </is>
      </c>
      <c r="B16" t="inlineStr">
        <is>
          <t>6.2%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11.9</v>
      </c>
      <c r="C5" s="14" t="n">
        <v>13.5</v>
      </c>
      <c r="D5" s="14" t="n">
        <v>14</v>
      </c>
      <c r="E5" s="14" t="n">
        <v>14.5</v>
      </c>
      <c r="F5" s="14" t="n">
        <v>14</v>
      </c>
    </row>
    <row r="6">
      <c r="A6" s="13" t="inlineStr">
        <is>
          <t>Net Interest Margin (%)</t>
        </is>
      </c>
      <c r="B6" s="14" t="n">
        <v>3.35</v>
      </c>
      <c r="C6" s="14" t="n">
        <v>3.4</v>
      </c>
      <c r="D6" s="14" t="n">
        <v>3.45</v>
      </c>
      <c r="E6" s="14" t="n">
        <v>3.5</v>
      </c>
      <c r="F6" s="14" t="n">
        <v>3.5</v>
      </c>
    </row>
    <row r="7">
      <c r="A7" s="13" t="inlineStr">
        <is>
          <t>Return on Assets (%)</t>
        </is>
      </c>
      <c r="B7" s="14" t="n">
        <v>1.92</v>
      </c>
      <c r="C7" s="14" t="n">
        <v>2</v>
      </c>
      <c r="D7" s="14" t="n">
        <v>2.1</v>
      </c>
      <c r="E7" s="14" t="n">
        <v>2.2</v>
      </c>
      <c r="F7" s="14" t="n">
        <v>2.25</v>
      </c>
    </row>
    <row r="8">
      <c r="A8" s="13" t="inlineStr">
        <is>
          <t>Return on Equity (%)</t>
        </is>
      </c>
      <c r="B8" s="14" t="n">
        <v>13.9</v>
      </c>
      <c r="C8" s="14" t="n">
        <v>14.5</v>
      </c>
      <c r="D8" s="14" t="n">
        <v>15.2</v>
      </c>
      <c r="E8" s="14" t="n">
        <v>16</v>
      </c>
      <c r="F8" s="14" t="n">
        <v>16.5</v>
      </c>
    </row>
    <row r="9">
      <c r="A9" s="13" t="inlineStr">
        <is>
          <t>CASA Ratio (%)</t>
        </is>
      </c>
      <c r="B9" s="14" t="n">
        <v>34</v>
      </c>
      <c r="C9" s="14" t="n">
        <v>36</v>
      </c>
      <c r="D9" s="14" t="n">
        <v>38</v>
      </c>
      <c r="E9" s="14" t="n">
        <v>40</v>
      </c>
      <c r="F9" s="14" t="n">
        <v>41</v>
      </c>
    </row>
    <row r="10">
      <c r="A10" s="13" t="inlineStr">
        <is>
          <t>Credit Cost (%)</t>
        </is>
      </c>
      <c r="B10" s="14" t="n">
        <v>1.24</v>
      </c>
      <c r="C10" s="14" t="n">
        <v>1.1</v>
      </c>
      <c r="D10" s="14" t="n">
        <v>1</v>
      </c>
      <c r="E10" s="14" t="n">
        <v>0.95</v>
      </c>
      <c r="F10" s="14" t="n">
        <v>0.9</v>
      </c>
    </row>
    <row r="11">
      <c r="A11" s="13" t="inlineStr">
        <is>
          <t>Cost-to-Income (%)</t>
        </is>
      </c>
      <c r="B11" s="14" t="n">
        <v>39.2</v>
      </c>
      <c r="C11" s="14" t="n">
        <v>38.5</v>
      </c>
      <c r="D11" s="14" t="n">
        <v>37.5</v>
      </c>
      <c r="E11" s="14" t="n">
        <v>36.5</v>
      </c>
      <c r="F11" s="14" t="n">
        <v>36</v>
      </c>
    </row>
    <row r="14">
      <c r="A14" s="5" t="inlineStr">
        <is>
          <t>RATIONALE</t>
        </is>
      </c>
    </row>
    <row r="15">
      <c r="A15" s="9" t="inlineStr">
        <is>
          <t>HDFC Bank post-merger integration phase with FY26E showing legacy merger impact (11.9% loan growth, 34% CASA). Recovery trajectory from FY27E onwards as: (1) Loan growth accelerates to 13.5-14.5% as retail lending normalizes and corporate credit demand improves with capex cycle; (2) NIM expands 30-50bps to 3.5% driven by CASA ratio improvement from current 34% to 41% by FY30E as merged book stabilizes and franchise strength reasserts; (3) Credit costs normalize from current elevated 1.24% to sub-1% as asset quality improves with GNPA expected below 1%; (4) Operating leverage improves with cost-to-income declining to 36% through scale benefits and digital initiatives; (5) ROA expands from 1.92% to 2.25% and ROE from 13.9% to 16.5% reflecting superior profitability metrics returning to pre-merger trajectory; Strong capital position (CAR 19.9%) supports growth without dilution. Conservative assumptions given India GDP growth 6-7%, credit growth 12-15% environment, and HDFC's market leadership position.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 linked to Assumptions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Revenue +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F5*1.10</f>
        <v/>
      </c>
      <c r="H5" s="16">
        <f>G5*1.10</f>
        <v/>
      </c>
      <c r="I5" s="16">
        <f>H5*1.10</f>
        <v/>
      </c>
      <c r="J5" s="16">
        <f>I5*1.10</f>
        <v/>
      </c>
      <c r="K5" s="16">
        <f>J5*1.10</f>
        <v/>
      </c>
    </row>
    <row r="6">
      <c r="A6" s="13" t="inlineStr">
        <is>
          <t>Interest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F6*(1+Assumptions!$B$5/100)</f>
        <v/>
      </c>
      <c r="H6" s="16">
        <f>G6*(1+Assumptions!$C$5/100)</f>
        <v/>
      </c>
      <c r="I6" s="16">
        <f>H6*(1+Assumptions!$D$5/100)</f>
        <v/>
      </c>
      <c r="J6" s="16">
        <f>I6*(1+Assumptions!$E$5/100)</f>
        <v/>
      </c>
      <c r="K6" s="16">
        <f>J6*(1+Assumptions!$F$5/100)</f>
        <v/>
      </c>
    </row>
    <row r="7">
      <c r="A7" s="13" t="inlineStr">
        <is>
          <t>Other Income +</t>
        </is>
      </c>
      <c r="B7" s="15" t="n">
        <v>24879</v>
      </c>
      <c r="C7" s="15" t="n">
        <v>27333</v>
      </c>
      <c r="D7" s="15" t="n">
        <v>31759</v>
      </c>
      <c r="E7" s="15" t="n">
        <v>33912</v>
      </c>
      <c r="F7" s="15" t="n">
        <v>124346</v>
      </c>
      <c r="G7" s="16">
        <f>F7*1.05</f>
        <v/>
      </c>
      <c r="H7" s="16">
        <f>G7*1.05</f>
        <v/>
      </c>
      <c r="I7" s="16">
        <f>H7*1.05</f>
        <v/>
      </c>
      <c r="J7" s="16">
        <f>I7*1.05</f>
        <v/>
      </c>
      <c r="K7" s="16">
        <f>J7*1.05</f>
        <v/>
      </c>
    </row>
    <row r="8">
      <c r="A8" s="17" t="inlineStr">
        <is>
          <t>Total Income</t>
        </is>
      </c>
      <c r="B8" s="18" t="n"/>
      <c r="C8" s="18" t="n"/>
      <c r="D8" s="18" t="n"/>
      <c r="E8" s="18" t="n"/>
      <c r="F8" s="18" t="n"/>
      <c r="G8" s="19">
        <f>G5+G6+G7</f>
        <v/>
      </c>
      <c r="H8" s="19">
        <f>H5+H6+H7</f>
        <v/>
      </c>
      <c r="I8" s="19">
        <f>I5+I6+I7</f>
        <v/>
      </c>
      <c r="J8" s="19">
        <f>J5+J6+J7</f>
        <v/>
      </c>
      <c r="K8" s="19">
        <f>K5+K6+K7</f>
        <v/>
      </c>
    </row>
    <row r="10">
      <c r="A10" s="13" t="inlineStr">
        <is>
          <t>Operating Expenses</t>
        </is>
      </c>
      <c r="B10" s="15" t="n">
        <v>45459</v>
      </c>
      <c r="C10" s="15" t="n">
        <v>52457</v>
      </c>
      <c r="D10" s="15" t="n">
        <v>56557</v>
      </c>
      <c r="E10" s="15" t="n">
        <v>63042</v>
      </c>
      <c r="F10" s="15" t="n">
        <v>174196</v>
      </c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Employee Cost</t>
        </is>
      </c>
      <c r="B11" s="18" t="n"/>
      <c r="C11" s="18" t="n"/>
      <c r="D11" s="18" t="n"/>
      <c r="E11" s="18" t="n"/>
      <c r="F11" s="18" t="n"/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Interest Expense</t>
        </is>
      </c>
      <c r="B12" s="15" t="n">
        <v>62137</v>
      </c>
      <c r="C12" s="15" t="n">
        <v>59248</v>
      </c>
      <c r="D12" s="15" t="n">
        <v>58584</v>
      </c>
      <c r="E12" s="15" t="n">
        <v>77780</v>
      </c>
      <c r="F12" s="15" t="n">
        <v>154139</v>
      </c>
      <c r="G12" s="16">
        <f>F12*1.06</f>
        <v/>
      </c>
      <c r="H12" s="16">
        <f>G12*1.06</f>
        <v/>
      </c>
      <c r="I12" s="16">
        <f>H12*1.06</f>
        <v/>
      </c>
      <c r="J12" s="16">
        <f>I12*1.06</f>
        <v/>
      </c>
      <c r="K12" s="16">
        <f>J12*1.06</f>
        <v/>
      </c>
    </row>
    <row r="13">
      <c r="A13" s="13" t="inlineStr">
        <is>
          <t>Depreciation</t>
        </is>
      </c>
      <c r="B13" s="15" t="n">
        <v>1277</v>
      </c>
      <c r="C13" s="15" t="n">
        <v>1385</v>
      </c>
      <c r="D13" s="15" t="n">
        <v>1681</v>
      </c>
      <c r="E13" s="15" t="n">
        <v>2345</v>
      </c>
      <c r="F13" s="15" t="n">
        <v>3092</v>
      </c>
      <c r="G13" s="16">
        <f>F13*1.05</f>
        <v/>
      </c>
      <c r="H13" s="16">
        <f>G13*1.05</f>
        <v/>
      </c>
      <c r="I13" s="16">
        <f>H13*1.05</f>
        <v/>
      </c>
      <c r="J13" s="16">
        <f>I13*1.05</f>
        <v/>
      </c>
      <c r="K13" s="16">
        <f>J13*1.05</f>
        <v/>
      </c>
    </row>
    <row r="14">
      <c r="A14" s="13" t="inlineStr">
        <is>
          <t>Other Expenses</t>
        </is>
      </c>
      <c r="B14" s="18" t="n"/>
      <c r="C14" s="18" t="n"/>
      <c r="D14" s="18" t="n"/>
      <c r="E14" s="18" t="n"/>
      <c r="F14" s="18" t="n"/>
      <c r="G14" s="16">
        <f>F14*1.07</f>
        <v/>
      </c>
      <c r="H14" s="16">
        <f>G14*1.07</f>
        <v/>
      </c>
      <c r="I14" s="16">
        <f>H14*1.07</f>
        <v/>
      </c>
      <c r="J14" s="16">
        <f>I14*1.07</f>
        <v/>
      </c>
      <c r="K14" s="16">
        <f>J14*1.07</f>
        <v/>
      </c>
    </row>
    <row r="15">
      <c r="A15" s="17" t="inlineStr">
        <is>
          <t>Total Expenses</t>
        </is>
      </c>
      <c r="B15" s="18" t="n"/>
      <c r="C15" s="18" t="n"/>
      <c r="D15" s="18" t="n"/>
      <c r="E15" s="18" t="n"/>
      <c r="F15" s="18" t="n"/>
      <c r="G15" s="19">
        <f>G10+G11+G12+G13+G14</f>
        <v/>
      </c>
      <c r="H15" s="19">
        <f>H10+H11+H12+H13+H14</f>
        <v/>
      </c>
      <c r="I15" s="19">
        <f>I10+I11+I12+I13+I14</f>
        <v/>
      </c>
      <c r="J15" s="19">
        <f>J10+J11+J12+J13+J14</f>
        <v/>
      </c>
      <c r="K15" s="19">
        <f>K10+K11+K12+K13+K14</f>
        <v/>
      </c>
    </row>
    <row r="17">
      <c r="A17" s="17" t="inlineStr">
        <is>
          <t>Profit before tax</t>
        </is>
      </c>
      <c r="B17" s="15" t="n">
        <v>38195</v>
      </c>
      <c r="C17" s="15" t="n">
        <v>42796</v>
      </c>
      <c r="D17" s="15" t="n">
        <v>50873</v>
      </c>
      <c r="E17" s="15" t="n">
        <v>61498</v>
      </c>
      <c r="F17" s="15" t="n">
        <v>76569</v>
      </c>
      <c r="G17" s="19">
        <f>G8-G15</f>
        <v/>
      </c>
      <c r="H17" s="19">
        <f>H8-H15</f>
        <v/>
      </c>
      <c r="I17" s="19">
        <f>I8-I15</f>
        <v/>
      </c>
      <c r="J17" s="19">
        <f>J8-J15</f>
        <v/>
      </c>
      <c r="K17" s="19">
        <f>K8-K15</f>
        <v/>
      </c>
    </row>
    <row r="18">
      <c r="A18" s="13" t="inlineStr">
        <is>
          <t>Tax %</t>
        </is>
      </c>
      <c r="B18" s="15" t="n">
        <v>29</v>
      </c>
      <c r="C18" s="15" t="n">
        <v>26</v>
      </c>
      <c r="D18" s="15" t="n">
        <v>25</v>
      </c>
      <c r="E18" s="15" t="n">
        <v>25</v>
      </c>
      <c r="F18" s="15" t="n">
        <v>15</v>
      </c>
      <c r="G18" s="16">
        <f>G17*0.25</f>
        <v/>
      </c>
      <c r="H18" s="16">
        <f>H17*0.25</f>
        <v/>
      </c>
      <c r="I18" s="16">
        <f>I17*0.25</f>
        <v/>
      </c>
      <c r="J18" s="16">
        <f>J17*0.25</f>
        <v/>
      </c>
      <c r="K18" s="16">
        <f>K17*0.25</f>
        <v/>
      </c>
    </row>
    <row r="19">
      <c r="A19" s="17" t="inlineStr">
        <is>
          <t>Net Profit +</t>
        </is>
      </c>
      <c r="B19" s="15" t="n">
        <v>27296</v>
      </c>
      <c r="C19" s="15" t="n">
        <v>31857</v>
      </c>
      <c r="D19" s="15" t="n">
        <v>38151</v>
      </c>
      <c r="E19" s="15" t="n">
        <v>46149</v>
      </c>
      <c r="F19" s="15" t="n">
        <v>65446</v>
      </c>
      <c r="G19" s="19">
        <f>G17-G18</f>
        <v/>
      </c>
      <c r="H19" s="19">
        <f>H17-H18</f>
        <v/>
      </c>
      <c r="I19" s="19">
        <f>I17-I18</f>
        <v/>
      </c>
      <c r="J19" s="19">
        <f>J17-J18</f>
        <v/>
      </c>
      <c r="K19" s="19">
        <f>K17-K18</f>
        <v/>
      </c>
    </row>
    <row r="21">
      <c r="A21" s="20" t="inlineStr">
        <is>
          <t>PAT YoY Growth (%)</t>
        </is>
      </c>
      <c r="C21" s="21">
        <f>(C19/B19-1)*100</f>
        <v/>
      </c>
      <c r="D21" s="21">
        <f>(D19/C19-1)*100</f>
        <v/>
      </c>
      <c r="E21" s="21">
        <f>(E19/D19-1)*100</f>
        <v/>
      </c>
      <c r="F21" s="21">
        <f>(F19/E19-1)*100</f>
        <v/>
      </c>
      <c r="G21" s="22">
        <f>(G19/F19-1)*100</f>
        <v/>
      </c>
      <c r="H21" s="22">
        <f>(H19/G19-1)*100</f>
        <v/>
      </c>
      <c r="I21" s="22">
        <f>(I19/H19-1)*100</f>
        <v/>
      </c>
      <c r="J21" s="22">
        <f>(J19/I19-1)*100</f>
        <v/>
      </c>
      <c r="K21" s="22">
        <f>(K19/J19-1)*100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ASSETS</t>
        </is>
      </c>
      <c r="B5" s="18" t="n"/>
      <c r="C5" s="18" t="n"/>
      <c r="D5" s="18" t="n"/>
      <c r="E5" s="18" t="n"/>
      <c r="F5" s="18" t="n"/>
      <c r="G5" s="16" t="n"/>
      <c r="H5" s="16" t="n"/>
      <c r="I5" s="16" t="n"/>
      <c r="J5" s="16" t="n"/>
      <c r="K5" s="16" t="n"/>
    </row>
    <row r="6">
      <c r="A6" s="13" t="inlineStr">
        <is>
          <t>Share Capital</t>
        </is>
      </c>
      <c r="B6" s="18" t="n"/>
      <c r="C6" s="18" t="n"/>
      <c r="D6" s="18" t="n"/>
      <c r="E6" s="18" t="n"/>
      <c r="F6" s="18" t="n"/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F7+'P&amp;L'!G19*0.7</f>
        <v/>
      </c>
      <c r="H7" s="16">
        <f>G7+'P&amp;L'!H19*0.7</f>
        <v/>
      </c>
      <c r="I7" s="16">
        <f>H7+'P&amp;L'!I19*0.7</f>
        <v/>
      </c>
      <c r="J7" s="16">
        <f>I7+'P&amp;L'!J19*0.7</f>
        <v/>
      </c>
      <c r="K7" s="16">
        <f>J7+'P&amp;L'!K19*0.7</f>
        <v/>
      </c>
    </row>
    <row r="8">
      <c r="A8" s="17" t="inlineStr">
        <is>
          <t>Total Equity</t>
        </is>
      </c>
      <c r="B8" s="18" t="n"/>
      <c r="C8" s="18" t="n"/>
      <c r="D8" s="18" t="n"/>
      <c r="E8" s="18" t="n"/>
      <c r="F8" s="18" t="n"/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Borrowings</t>
        </is>
      </c>
      <c r="B10" s="18" t="n"/>
      <c r="C10" s="18" t="n"/>
      <c r="D10" s="18" t="n"/>
      <c r="E10" s="18" t="n"/>
      <c r="F10" s="18" t="n"/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Other Liabilities</t>
        </is>
      </c>
      <c r="B11" s="18" t="n"/>
      <c r="C11" s="18" t="n"/>
      <c r="D11" s="18" t="n"/>
      <c r="E11" s="18" t="n"/>
      <c r="F11" s="18" t="n"/>
      <c r="G11" s="16">
        <f>F11*1.06</f>
        <v/>
      </c>
      <c r="H11" s="16">
        <f>G11*1.06</f>
        <v/>
      </c>
      <c r="I11" s="16">
        <f>H11*1.06</f>
        <v/>
      </c>
      <c r="J11" s="16">
        <f>I11*1.06</f>
        <v/>
      </c>
      <c r="K11" s="16">
        <f>J11*1.06</f>
        <v/>
      </c>
    </row>
    <row r="12">
      <c r="A12" s="17" t="inlineStr">
        <is>
          <t>Total Liabilities</t>
        </is>
      </c>
      <c r="B12" s="15" t="n">
        <v>1580830</v>
      </c>
      <c r="C12" s="15" t="n">
        <v>1799507</v>
      </c>
      <c r="D12" s="15" t="n">
        <v>2122934</v>
      </c>
      <c r="E12" s="15" t="n">
        <v>2530432</v>
      </c>
      <c r="F12" s="15" t="n">
        <v>4030194</v>
      </c>
      <c r="G12" s="19">
        <f>G10+G11</f>
        <v/>
      </c>
      <c r="H12" s="19">
        <f>H10+H11</f>
        <v/>
      </c>
      <c r="I12" s="19">
        <f>I10+I11</f>
        <v/>
      </c>
      <c r="J12" s="19">
        <f>J10+J11</f>
        <v/>
      </c>
      <c r="K12" s="19">
        <f>K10+K11</f>
        <v/>
      </c>
    </row>
    <row r="14">
      <c r="A14" s="13" t="inlineStr">
        <is>
          <t>Fixed Assets</t>
        </is>
      </c>
      <c r="B14" s="18" t="n"/>
      <c r="C14" s="18" t="n"/>
      <c r="D14" s="18" t="n"/>
      <c r="E14" s="18" t="n"/>
      <c r="F14" s="18" t="n"/>
      <c r="G14" s="16">
        <f>F14*1.05</f>
        <v/>
      </c>
      <c r="H14" s="16">
        <f>G14*1.05</f>
        <v/>
      </c>
      <c r="I14" s="16">
        <f>H14*1.05</f>
        <v/>
      </c>
      <c r="J14" s="16">
        <f>I14*1.05</f>
        <v/>
      </c>
      <c r="K14" s="16">
        <f>J14*1.05</f>
        <v/>
      </c>
    </row>
    <row r="15">
      <c r="A15" s="13" t="inlineStr">
        <is>
          <t>Investments</t>
        </is>
      </c>
      <c r="B15" s="15" t="n">
        <v>389305</v>
      </c>
      <c r="C15" s="15" t="n">
        <v>438823</v>
      </c>
      <c r="D15" s="15" t="n">
        <v>449264</v>
      </c>
      <c r="E15" s="15" t="n">
        <v>511582</v>
      </c>
      <c r="F15" s="15" t="n">
        <v>1005682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Advances/Loans</t>
        </is>
      </c>
      <c r="B16" s="18" t="n"/>
      <c r="C16" s="18" t="n"/>
      <c r="D16" s="18" t="n"/>
      <c r="E16" s="18" t="n"/>
      <c r="F16" s="18" t="n"/>
      <c r="G16" s="16">
        <f>F16*(1+Assumptions!$B$5/100)</f>
        <v/>
      </c>
      <c r="H16" s="16">
        <f>G16*(1+Assumptions!$C$5/100)</f>
        <v/>
      </c>
      <c r="I16" s="16">
        <f>H16*(1+Assumptions!$D$5/100)</f>
        <v/>
      </c>
      <c r="J16" s="16">
        <f>I16*(1+Assumptions!$E$5/100)</f>
        <v/>
      </c>
      <c r="K16" s="16">
        <f>J16*(1+Assumptions!$F$5/100)</f>
        <v/>
      </c>
    </row>
    <row r="17">
      <c r="A17" s="13" t="inlineStr">
        <is>
          <t>Other Assets</t>
        </is>
      </c>
      <c r="B17" s="18" t="n"/>
      <c r="C17" s="18" t="n"/>
      <c r="D17" s="18" t="n"/>
      <c r="E17" s="18" t="n"/>
      <c r="F17" s="18" t="n"/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7" t="inlineStr">
        <is>
          <t>Total Assets</t>
        </is>
      </c>
      <c r="B18" s="15" t="n">
        <v>1580830</v>
      </c>
      <c r="C18" s="15" t="n">
        <v>1799507</v>
      </c>
      <c r="D18" s="15" t="n">
        <v>2122934</v>
      </c>
      <c r="E18" s="15" t="n">
        <v>2530432</v>
      </c>
      <c r="F18" s="15" t="n">
        <v>4030194</v>
      </c>
      <c r="G18" s="19">
        <f>G8+G12</f>
        <v/>
      </c>
      <c r="H18" s="19">
        <f>H8+H12</f>
        <v/>
      </c>
      <c r="I18" s="19">
        <f>I8+I12</f>
        <v/>
      </c>
      <c r="J18" s="19">
        <f>J8+J12</f>
        <v/>
      </c>
      <c r="K18" s="19">
        <f>K8+K12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3" t="inlineStr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3" t="inlineStr">
        <is>
          <t>PROFITABILITY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13" t="inlineStr">
        <is>
          <t>Net Profit (PAT)</t>
        </is>
      </c>
      <c r="B7" s="25">
        <f>'P&amp;L'!B19</f>
        <v/>
      </c>
      <c r="C7" s="25">
        <f>'P&amp;L'!C19</f>
        <v/>
      </c>
      <c r="D7" s="25">
        <f>'P&amp;L'!D19</f>
        <v/>
      </c>
      <c r="E7" s="25">
        <f>'P&amp;L'!E19</f>
        <v/>
      </c>
      <c r="F7" s="25">
        <f>'P&amp;L'!F19</f>
        <v/>
      </c>
      <c r="G7" s="26">
        <f>'P&amp;L'!G19</f>
        <v/>
      </c>
      <c r="H7" s="26">
        <f>'P&amp;L'!H19</f>
        <v/>
      </c>
      <c r="I7" s="26">
        <f>'P&amp;L'!I19</f>
        <v/>
      </c>
      <c r="J7" s="26">
        <f>'P&amp;L'!J19</f>
        <v/>
      </c>
      <c r="K7" s="26">
        <f>'P&amp;L'!K19</f>
        <v/>
      </c>
    </row>
    <row r="8">
      <c r="A8" s="13" t="inlineStr">
        <is>
          <t>Revenue</t>
        </is>
      </c>
      <c r="B8" s="25">
        <f>'P&amp;L'!B5</f>
        <v/>
      </c>
      <c r="C8" s="25">
        <f>'P&amp;L'!C5</f>
        <v/>
      </c>
      <c r="D8" s="25">
        <f>'P&amp;L'!D5</f>
        <v/>
      </c>
      <c r="E8" s="25">
        <f>'P&amp;L'!E5</f>
        <v/>
      </c>
      <c r="F8" s="25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  <c r="K8" s="26">
        <f>'P&amp;L'!K5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7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  <c r="K9" s="28">
        <f>IF(K8=0,0,K7/K8*100)</f>
        <v/>
      </c>
    </row>
    <row r="11">
      <c r="A11" s="23" t="inlineStr">
        <is>
          <t>EFFICIENCY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13" t="inlineStr">
        <is>
          <t>Revenue</t>
        </is>
      </c>
      <c r="B12" s="25">
        <f>'P&amp;L'!B5</f>
        <v/>
      </c>
      <c r="C12" s="25">
        <f>'P&amp;L'!C5</f>
        <v/>
      </c>
      <c r="D12" s="25">
        <f>'P&amp;L'!D5</f>
        <v/>
      </c>
      <c r="E12" s="25">
        <f>'P&amp;L'!E5</f>
        <v/>
      </c>
      <c r="F12" s="25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  <c r="K12" s="26">
        <f>'P&amp;L'!K5</f>
        <v/>
      </c>
    </row>
    <row r="13">
      <c r="A13" s="13" t="inlineStr">
        <is>
          <t>Average Total Assets</t>
        </is>
      </c>
      <c r="B13" s="25">
        <f>'Balance Sheet'!B18</f>
        <v/>
      </c>
      <c r="C13" s="25">
        <f>('Balance Sheet'!C18+'Balance Sheet'!B18)/2</f>
        <v/>
      </c>
      <c r="D13" s="25">
        <f>('Balance Sheet'!D18+'Balance Sheet'!C18)/2</f>
        <v/>
      </c>
      <c r="E13" s="25">
        <f>('Balance Sheet'!E18+'Balance Sheet'!D18)/2</f>
        <v/>
      </c>
      <c r="F13" s="25">
        <f>('Balance Sheet'!F18+'Balance Sheet'!E18)/2</f>
        <v/>
      </c>
      <c r="G13" s="26">
        <f>('Balance Sheet'!G18+'Balance Sheet'!F18)/2</f>
        <v/>
      </c>
      <c r="H13" s="26">
        <f>('Balance Sheet'!H18+'Balance Sheet'!G18)/2</f>
        <v/>
      </c>
      <c r="I13" s="26">
        <f>('Balance Sheet'!I18+'Balance Sheet'!H18)/2</f>
        <v/>
      </c>
      <c r="J13" s="26">
        <f>('Balance Sheet'!J18+'Balance Sheet'!I18)/2</f>
        <v/>
      </c>
      <c r="K13" s="26">
        <f>('Balance Sheet'!K18+'Balance Sheet'!J18)/2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7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  <c r="K14" s="28">
        <f>IF(K13=0,0,K12/K13)</f>
        <v/>
      </c>
    </row>
    <row r="16">
      <c r="A16" s="23" t="inlineStr">
        <is>
          <t>LEVERAGE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13" t="inlineStr">
        <is>
          <t>Average Total Assets</t>
        </is>
      </c>
      <c r="B17" s="25">
        <f>'Balance Sheet'!B18</f>
        <v/>
      </c>
      <c r="C17" s="25">
        <f>('Balance Sheet'!C18+'Balance Sheet'!B18)/2</f>
        <v/>
      </c>
      <c r="D17" s="25">
        <f>('Balance Sheet'!D18+'Balance Sheet'!C18)/2</f>
        <v/>
      </c>
      <c r="E17" s="25">
        <f>('Balance Sheet'!E18+'Balance Sheet'!D18)/2</f>
        <v/>
      </c>
      <c r="F17" s="25">
        <f>('Balance Sheet'!F18+'Balance Sheet'!E18)/2</f>
        <v/>
      </c>
      <c r="G17" s="26">
        <f>('Balance Sheet'!G18+'Balance Sheet'!F18)/2</f>
        <v/>
      </c>
      <c r="H17" s="26">
        <f>('Balance Sheet'!H18+'Balance Sheet'!G18)/2</f>
        <v/>
      </c>
      <c r="I17" s="26">
        <f>('Balance Sheet'!I18+'Balance Sheet'!H18)/2</f>
        <v/>
      </c>
      <c r="J17" s="26">
        <f>('Balance Sheet'!J18+'Balance Sheet'!I18)/2</f>
        <v/>
      </c>
      <c r="K17" s="26">
        <f>('Balance Sheet'!K18+'Balance Sheet'!J18)/2</f>
        <v/>
      </c>
    </row>
    <row r="18">
      <c r="A18" s="13" t="inlineStr">
        <is>
          <t>Average Equity</t>
        </is>
      </c>
      <c r="B18" s="25">
        <f>'Balance Sheet'!B8</f>
        <v/>
      </c>
      <c r="C18" s="25">
        <f>('Balance Sheet'!C8+'Balance Sheet'!B8)/2</f>
        <v/>
      </c>
      <c r="D18" s="25">
        <f>('Balance Sheet'!D8+'Balance Sheet'!C8)/2</f>
        <v/>
      </c>
      <c r="E18" s="25">
        <f>('Balance Sheet'!E8+'Balance Sheet'!D8)/2</f>
        <v/>
      </c>
      <c r="F18" s="25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  <c r="K18" s="26">
        <f>('Balance Sheet'!K8+'Balance Sheet'!J8)/2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7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  <c r="K19" s="28">
        <f>IF(K18=0,0,K17/K18)</f>
        <v/>
      </c>
    </row>
    <row r="21">
      <c r="A21" s="23" t="inlineStr">
        <is>
          <t>ROE CALCULATION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29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  <c r="K22" s="30">
        <f>IF(K18=0,0,K7/K18*100)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1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  <c r="K23" s="32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3" t="n">
        <v>20</v>
      </c>
      <c r="C4" s="33" t="n">
        <v>19</v>
      </c>
      <c r="D4" s="33" t="n">
        <v>18</v>
      </c>
      <c r="E4" s="33" t="n">
        <v>18</v>
      </c>
      <c r="F4" s="33" t="n">
        <v>17</v>
      </c>
      <c r="G4" s="33" t="n">
        <v>16</v>
      </c>
      <c r="H4" s="33" t="n">
        <v>16</v>
      </c>
      <c r="I4" s="33" t="n">
        <v>17</v>
      </c>
      <c r="J4" s="33" t="n">
        <v>17</v>
      </c>
      <c r="K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761.15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'P&amp;L'!G19</f>
        <v/>
      </c>
      <c r="C17" s="39">
        <f>'P&amp;L'!H19</f>
        <v/>
      </c>
      <c r="D17" s="40">
        <f>'P&amp;L'!I19</f>
        <v/>
      </c>
      <c r="E17" s="40">
        <f>'P&amp;L'!J19</f>
        <v/>
      </c>
      <c r="F17" s="40">
        <f>'P&amp;L'!K19</f>
        <v/>
      </c>
    </row>
    <row r="18">
      <c r="A18" s="13" t="inlineStr">
        <is>
          <t>Shareholders' Equity (Rs. Cr)</t>
        </is>
      </c>
      <c r="B18" s="39">
        <f>'Balance Sheet'!G8</f>
        <v/>
      </c>
      <c r="C18" s="39">
        <f>'Balance Sheet'!H8</f>
        <v/>
      </c>
      <c r="D18" s="40">
        <f>'Balance Sheet'!I8</f>
        <v/>
      </c>
      <c r="E18" s="40">
        <f>'Balance Sheet'!J8</f>
        <v/>
      </c>
      <c r="F18" s="40">
        <f>'Balance Sheet'!K8</f>
        <v/>
      </c>
    </row>
    <row r="19">
      <c r="A19" s="13" t="inlineStr">
        <is>
          <t>Opening Equity (Rs. Cr)</t>
        </is>
      </c>
      <c r="B19" s="39">
        <f>'Balance Sheet'!F8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7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7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Sheet'!F8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7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1737.85</v>
      </c>
      <c r="C41" s="13" t="n"/>
    </row>
    <row r="42">
      <c r="A42" s="17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HDFC Bank's ROE of 13.9% marginally exceeds cost of equity of 13%, generating modest positive residual income. Limited excess return spread suggests fair valuation at current levels with 6% upside.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3" t="inlineStr">
        <is>
          <t>S.No.</t>
        </is>
      </c>
    </row>
    <row r="5">
      <c r="A5" s="53" t="inlineStr">
        <is>
          <t>1.</t>
        </is>
      </c>
    </row>
    <row r="6">
      <c r="A6" s="53" t="inlineStr">
        <is>
          <t>2.</t>
        </is>
      </c>
    </row>
    <row r="7">
      <c r="A7" s="53" t="inlineStr">
        <is>
          <t>3.</t>
        </is>
      </c>
    </row>
    <row r="8">
      <c r="A8" s="53" t="inlineStr">
        <is>
          <t>4.</t>
        </is>
      </c>
    </row>
    <row r="9">
      <c r="A9" s="53" t="inlineStr">
        <is>
          <t>5.</t>
        </is>
      </c>
    </row>
    <row r="10">
      <c r="A10" s="53" t="inlineStr">
        <is>
          <t>6.</t>
        </is>
      </c>
    </row>
    <row r="11">
      <c r="A11" s="53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54" t="inlineStr">
        <is>
          <t>HOLD | Target: Rs.1,845 | Upside: 6.2%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55" t="inlineStr">
        <is>
          <t># HDFC Bank Ltd (HDFCBANK) – Investment Note
**Rating: HOLD | Target Price: ₹1,845 | Current Price: ₹1,737.85 | Upside: 6.2%**
## Recommendation Summary
Maintain HOLD on HDFC Bank with limited upside of 6.2% to our target price of ₹1,845. While the bank demonstrates operational stability post-merger with strong asset quality metrics, rich valuations at 2.5x book value and compressed margins constrain near-term appreciation potential.
## Investment Case
**Resilient Franchise with Improving Growth Trajectory:** The bank has delivered robust 21% profit CAGR over five years, with Q3 FY26 PAT reaching ₹187 bn (+12% YoY) and EPS of ₹12.1. Loan growth of 11.9% YoY and deposit growth of 11.6% YoY indicate successful liability mobilization post-HDFC Ltd merger, though CASA ratio remains challenged at 34.0%.
**Sector-Leading Asset Quality:** GNPA at 1.24% (ex-agriculture: 0.97%) and NNPA at 0.40% with 70% provision coverage ratio significantly outperform peer averages. The bank maintains conservative underwriting standards with stable credit costs, positioning it well for economic cycles.
**Strong Capital Position and Return Metrics:** CAR at 19.9% provides adequate cushion for growth, while ROE of 13.9% and ROA of 1.92% remain healthy despite post-merger normalization pressures. The bank maintains disciplined cost management with cost-to-income ratio at 39.2% and a consistent dividend payout of 23.3%.
**Market Leadership with Distribution Advantage:** Sustained median sales growth of 16.4% over the past decade reflects deep retail penetration and cross-sell capabilities. The bank's technological infrastructure and brand equity create competitive moats in digital banking and retail segments.
## Key Risks
**Margin Compression Concerns:** NIM at 3.35% reflects ongoing pressure from elevated cost of funds post-merger and competitive deposit environment. CASA ratio at 34% remains below historical 40%+ levels, limiting pricing power and profitability levers in the near term.
**Elevated Valuation Multiple:** Trading at 2.5x book value appears stretched relative to current ROE of 13.9%. Limited scope for multiple expansion given sector headwinds and compressed return profile versus historical standards.
**Balance Sheet Leverage and Coverage:** Low interest coverage ratio and substantial contingent liabilities of ₹27.8 trillion warrant monitoring. Large other income component of ₹1.5 trillion in earnings raises sustainability questions around core profitability.
## Valuation
Our ₹1,845 target price implies 2.6x FY27E book value, applying a modest premium to current 2.5x multiples. Valuation methodology uses residual income model with 15% cost of equity. Fair value justified by superior asset quality and franchise strength, but upside capped by margin headwinds and rich starting valuations. Re-rate catalyst would require CASA improvement above 37% and NIM stabilization above 3.4%. **Recommend accumulating only on 10%+ corrections below ₹1,550.**
---
*Price Target: ₹1,845 | Rating: HOLD*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2026-02-22T11:46:22Z</dcterms:created>
  <dcterms:modified xmlns:dcterms="http://purl.org/dc/terms/" xmlns:xsi="http://www.w3.org/2001/XMLSchema-instance" xsi:type="dcterms:W3CDTF">2026-02-22T11:46:22Z</dcterms:modified>
</cp:coreProperties>
</file>