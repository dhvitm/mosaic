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FF99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12" fillId="0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3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right"/>
    </xf>
    <xf numFmtId="0" fontId="14" fillId="4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3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3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3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3" borderId="1" pivotButton="0" quotePrefix="0" xfId="0"/>
    <xf numFmtId="3" fontId="0" fillId="3" borderId="0" pivotButton="0" quotePrefix="0" xfId="0"/>
    <xf numFmtId="165" fontId="6" fillId="3" borderId="1" pivotButton="0" quotePrefix="0" xfId="0"/>
    <xf numFmtId="165" fontId="6" fillId="3" borderId="0" pivotButton="0" quotePrefix="0" xfId="0"/>
    <xf numFmtId="3" fontId="6" fillId="3" borderId="1" pivotButton="0" quotePrefix="0" xfId="0"/>
    <xf numFmtId="3" fontId="6" fillId="3" borderId="0" pivotButton="0" quotePrefix="0" xfId="0"/>
    <xf numFmtId="166" fontId="0" fillId="3" borderId="1" pivotButton="0" quotePrefix="0" xfId="0"/>
    <xf numFmtId="166" fontId="0" fillId="3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ICICIAMC</t>
        </is>
      </c>
    </row>
    <row r="5">
      <c r="A5" s="4" t="inlineStr">
        <is>
          <t>Generated: 23 February 2026 08:19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Asset Management</t>
        </is>
      </c>
    </row>
    <row r="9">
      <c r="A9" t="inlineStr">
        <is>
          <t>Market Cap</t>
        </is>
      </c>
      <c r="B9" s="6" t="inlineStr">
        <is>
          <t>Rs.154,041 Cr</t>
        </is>
      </c>
    </row>
    <row r="10">
      <c r="A10" t="inlineStr">
        <is>
          <t>Current Price</t>
        </is>
      </c>
      <c r="B10" s="6" t="inlineStr">
        <is>
          <t>Rs.3,116.60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HOLD</t>
        </is>
      </c>
    </row>
    <row r="15">
      <c r="A15" t="inlineStr">
        <is>
          <t>Target Price</t>
        </is>
      </c>
      <c r="B15" s="8" t="inlineStr">
        <is>
          <t>Rs.3,400</t>
        </is>
      </c>
    </row>
    <row r="16">
      <c r="A16" t="inlineStr">
        <is>
          <t>Upside</t>
        </is>
      </c>
      <c r="B16" t="inlineStr">
        <is>
          <t>9.1%</t>
        </is>
      </c>
    </row>
    <row r="19">
      <c r="A19" s="5" t="inlineStr">
        <is>
          <t>INVESTMENT THESIS</t>
        </is>
      </c>
    </row>
    <row r="20">
      <c r="A20" s="9" t="inlineStr">
        <is>
          <t>ICICI AMC is a high-quality franchise benefiting from India's structural shift toward financial savings and mutual fund penetration. The company operates an asset-light, high-ROE business model with strong competitive moats including brand, distribution access via ICICI Bank, and product innovation capabilities. Trading at ~48x P/E, valuation appears full but justified by superior growth visibility and profitability metrics. Long-term structural tailwinds remain intact despite near-term market volatility.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7">
      <c r="A7" s="5" t="inlineStr">
        <is>
          <t>RATIONALE</t>
        </is>
      </c>
    </row>
    <row r="8">
      <c r="A8" s="9" t="inlineStr">
        <is>
          <t>Based on historical trends and sector outlook</t>
        </is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2025</t>
        </is>
      </c>
      <c r="C4" s="12" t="inlineStr">
        <is>
          <t>FY26E</t>
        </is>
      </c>
      <c r="D4" s="12" t="inlineStr">
        <is>
          <t>FY27E</t>
        </is>
      </c>
      <c r="E4" s="12" t="inlineStr">
        <is>
          <t>FY28E</t>
        </is>
      </c>
      <c r="F4" s="12" t="inlineStr">
        <is>
          <t>FY29E</t>
        </is>
      </c>
      <c r="G4" s="12" t="inlineStr">
        <is>
          <t>FY30E</t>
        </is>
      </c>
    </row>
    <row r="5">
      <c r="A5" s="13" t="inlineStr">
        <is>
          <t>Interest Earned</t>
        </is>
      </c>
      <c r="B5" s="14" t="n">
        <v>3758</v>
      </c>
      <c r="C5" s="15">
        <f>B5*1.12</f>
        <v/>
      </c>
      <c r="D5" s="15">
        <f>C5*1.12</f>
        <v/>
      </c>
      <c r="E5" s="15">
        <f>D5*1.12</f>
        <v/>
      </c>
      <c r="F5" s="15">
        <f>E5*1.12</f>
        <v/>
      </c>
      <c r="G5" s="15">
        <f>F5*1.12</f>
        <v/>
      </c>
    </row>
    <row r="6">
      <c r="A6" s="13" t="inlineStr">
        <is>
          <t>Interest on Advances</t>
        </is>
      </c>
      <c r="B6" s="14" t="n">
        <v>16</v>
      </c>
      <c r="C6" s="15">
        <f>B6*1.10</f>
        <v/>
      </c>
      <c r="D6" s="15">
        <f>C6*1.10</f>
        <v/>
      </c>
      <c r="E6" s="15">
        <f>D6*1.10</f>
        <v/>
      </c>
      <c r="F6" s="15">
        <f>E6*1.10</f>
        <v/>
      </c>
      <c r="G6" s="15">
        <f>F6*1.10</f>
        <v/>
      </c>
    </row>
    <row r="7">
      <c r="A7" s="13" t="inlineStr">
        <is>
          <t>Income on Investments</t>
        </is>
      </c>
      <c r="C7" s="15">
        <f>B7*1.08</f>
        <v/>
      </c>
      <c r="D7" s="15">
        <f>C7*1.08</f>
        <v/>
      </c>
      <c r="E7" s="15">
        <f>D7*1.08</f>
        <v/>
      </c>
      <c r="F7" s="15">
        <f>E7*1.08</f>
        <v/>
      </c>
      <c r="G7" s="15">
        <f>F7*1.08</f>
        <v/>
      </c>
    </row>
    <row r="8">
      <c r="A8" s="13" t="inlineStr">
        <is>
          <t>Other Income</t>
        </is>
      </c>
      <c r="B8" s="14" t="n">
        <v>3</v>
      </c>
      <c r="C8" s="15">
        <f>B8*1.08</f>
        <v/>
      </c>
      <c r="D8" s="15">
        <f>C8*1.08</f>
        <v/>
      </c>
      <c r="E8" s="15">
        <f>D8*1.08</f>
        <v/>
      </c>
      <c r="F8" s="15">
        <f>E8*1.08</f>
        <v/>
      </c>
      <c r="G8" s="15">
        <f>F8*1.08</f>
        <v/>
      </c>
    </row>
    <row r="9">
      <c r="A9" s="13" t="inlineStr">
        <is>
          <t>Commission &amp; Brokerage</t>
        </is>
      </c>
      <c r="C9" s="15">
        <f>B9*1.10</f>
        <v/>
      </c>
      <c r="D9" s="15">
        <f>C9*1.10</f>
        <v/>
      </c>
      <c r="E9" s="15">
        <f>D9*1.10</f>
        <v/>
      </c>
      <c r="F9" s="15">
        <f>E9*1.10</f>
        <v/>
      </c>
      <c r="G9" s="15">
        <f>F9*1.10</f>
        <v/>
      </c>
    </row>
    <row r="10">
      <c r="A10" s="13" t="inlineStr">
        <is>
          <t>Profit on Investments</t>
        </is>
      </c>
      <c r="C10" s="15">
        <f>B10*1.05</f>
        <v/>
      </c>
      <c r="D10" s="15">
        <f>C10*1.05</f>
        <v/>
      </c>
      <c r="E10" s="15">
        <f>D10*1.05</f>
        <v/>
      </c>
      <c r="F10" s="15">
        <f>E10*1.05</f>
        <v/>
      </c>
      <c r="G10" s="15">
        <f>F10*1.05</f>
        <v/>
      </c>
    </row>
    <row r="11">
      <c r="A11" s="16" t="inlineStr">
        <is>
          <t>Total Income</t>
        </is>
      </c>
      <c r="B11" s="17">
        <f>B5+B8+B9+B10</f>
        <v/>
      </c>
      <c r="C11" s="18">
        <f>C5+C8+C9+C10</f>
        <v/>
      </c>
      <c r="D11" s="18">
        <f>D5+D8+D9+D10</f>
        <v/>
      </c>
      <c r="E11" s="18">
        <f>E5+E8+E9+E10</f>
        <v/>
      </c>
      <c r="F11" s="18">
        <f>F5+F8+F9+F10</f>
        <v/>
      </c>
      <c r="G11" s="18">
        <f>G5+G8+G9+G10</f>
        <v/>
      </c>
    </row>
    <row r="13">
      <c r="A13" s="13" t="inlineStr">
        <is>
          <t>Interest Expended</t>
        </is>
      </c>
      <c r="C13" s="15">
        <f>B13*1.10</f>
        <v/>
      </c>
      <c r="D13" s="15">
        <f>C13*1.10</f>
        <v/>
      </c>
      <c r="E13" s="15">
        <f>D13*1.10</f>
        <v/>
      </c>
      <c r="F13" s="15">
        <f>E13*1.10</f>
        <v/>
      </c>
      <c r="G13" s="15">
        <f>F13*1.10</f>
        <v/>
      </c>
    </row>
    <row r="14">
      <c r="A14" s="13" t="inlineStr">
        <is>
          <t>Interest on Deposits</t>
        </is>
      </c>
      <c r="C14" s="15">
        <f>B14*1.10</f>
        <v/>
      </c>
      <c r="D14" s="15">
        <f>C14*1.10</f>
        <v/>
      </c>
      <c r="E14" s="15">
        <f>D14*1.10</f>
        <v/>
      </c>
      <c r="F14" s="15">
        <f>E14*1.10</f>
        <v/>
      </c>
      <c r="G14" s="15">
        <f>F14*1.10</f>
        <v/>
      </c>
    </row>
    <row r="15">
      <c r="A15" s="13" t="inlineStr">
        <is>
          <t>Operating Expenses</t>
        </is>
      </c>
      <c r="B15" s="14" t="n">
        <v>981</v>
      </c>
      <c r="C15" s="15">
        <f>B15*1.10</f>
        <v/>
      </c>
      <c r="D15" s="15">
        <f>C15*1.10</f>
        <v/>
      </c>
      <c r="E15" s="15">
        <f>D15*1.10</f>
        <v/>
      </c>
      <c r="F15" s="15">
        <f>E15*1.10</f>
        <v/>
      </c>
      <c r="G15" s="15">
        <f>F15*1.10</f>
        <v/>
      </c>
    </row>
    <row r="16">
      <c r="A16" s="13" t="inlineStr">
        <is>
          <t>Employee Cost</t>
        </is>
      </c>
      <c r="B16" s="19" t="n"/>
      <c r="C16" s="15">
        <f>B16*1.08</f>
        <v/>
      </c>
      <c r="D16" s="15">
        <f>C16*1.08</f>
        <v/>
      </c>
      <c r="E16" s="15">
        <f>D16*1.08</f>
        <v/>
      </c>
      <c r="F16" s="15">
        <f>E16*1.08</f>
        <v/>
      </c>
      <c r="G16" s="15">
        <f>F16*1.08</f>
        <v/>
      </c>
    </row>
    <row r="17">
      <c r="A17" s="13" t="inlineStr">
        <is>
          <t>Depreciation</t>
        </is>
      </c>
      <c r="B17" s="14" t="n">
        <v>66</v>
      </c>
      <c r="C17" s="15">
        <f>B17*1.05</f>
        <v/>
      </c>
      <c r="D17" s="15">
        <f>C17*1.05</f>
        <v/>
      </c>
      <c r="E17" s="15">
        <f>D17*1.05</f>
        <v/>
      </c>
      <c r="F17" s="15">
        <f>E17*1.05</f>
        <v/>
      </c>
      <c r="G17" s="15">
        <f>F17*1.05</f>
        <v/>
      </c>
    </row>
    <row r="18">
      <c r="A18" s="13" t="inlineStr">
        <is>
          <t>Other OpEx</t>
        </is>
      </c>
      <c r="C18" s="15">
        <f>B18*1.08</f>
        <v/>
      </c>
      <c r="D18" s="15">
        <f>C18*1.08</f>
        <v/>
      </c>
      <c r="E18" s="15">
        <f>D18*1.08</f>
        <v/>
      </c>
      <c r="F18" s="15">
        <f>E18*1.08</f>
        <v/>
      </c>
      <c r="G18" s="15">
        <f>F18*1.08</f>
        <v/>
      </c>
    </row>
    <row r="19">
      <c r="A19" s="16" t="inlineStr">
        <is>
          <t>Total Expenses</t>
        </is>
      </c>
      <c r="B19" s="17">
        <f>B13+B15</f>
        <v/>
      </c>
      <c r="C19" s="18">
        <f>C13+C15</f>
        <v/>
      </c>
      <c r="D19" s="18">
        <f>D13+D15</f>
        <v/>
      </c>
      <c r="E19" s="18">
        <f>E13+E15</f>
        <v/>
      </c>
      <c r="F19" s="18">
        <f>F13+F15</f>
        <v/>
      </c>
      <c r="G19" s="18">
        <f>G13+G15</f>
        <v/>
      </c>
    </row>
    <row r="21">
      <c r="A21" s="13" t="inlineStr">
        <is>
          <t>Provisions &amp; Contingencies</t>
        </is>
      </c>
      <c r="B21" s="19" t="n"/>
      <c r="C21" s="15">
        <f>B21*1.05</f>
        <v/>
      </c>
      <c r="D21" s="15">
        <f>C21*1.05</f>
        <v/>
      </c>
      <c r="E21" s="15">
        <f>D21*1.05</f>
        <v/>
      </c>
      <c r="F21" s="15">
        <f>E21*1.05</f>
        <v/>
      </c>
      <c r="G21" s="15">
        <f>F21*1.05</f>
        <v/>
      </c>
    </row>
    <row r="22">
      <c r="A22" s="13" t="inlineStr">
        <is>
          <t>Provision for NPA</t>
        </is>
      </c>
      <c r="C22" s="15">
        <f>B22*0.95</f>
        <v/>
      </c>
      <c r="D22" s="15">
        <f>C22*0.95</f>
        <v/>
      </c>
      <c r="E22" s="15">
        <f>D22*0.95</f>
        <v/>
      </c>
      <c r="F22" s="15">
        <f>E22*0.95</f>
        <v/>
      </c>
      <c r="G22" s="15">
        <f>F22*0.95</f>
        <v/>
      </c>
    </row>
    <row r="23">
      <c r="A23" s="13" t="inlineStr">
        <is>
          <t>Provision for Tax</t>
        </is>
      </c>
      <c r="C23" s="15">
        <f>B23*1.10</f>
        <v/>
      </c>
      <c r="D23" s="15">
        <f>C23*1.10</f>
        <v/>
      </c>
      <c r="E23" s="15">
        <f>D23*1.10</f>
        <v/>
      </c>
      <c r="F23" s="15">
        <f>E23*1.10</f>
        <v/>
      </c>
      <c r="G23" s="15">
        <f>F23*1.10</f>
        <v/>
      </c>
    </row>
    <row r="24">
      <c r="A24" s="13" t="inlineStr">
        <is>
          <t>Operating Profit</t>
        </is>
      </c>
      <c r="B24" s="14" t="n">
        <v>2777</v>
      </c>
      <c r="C24" s="15">
        <f>C11-C19</f>
        <v/>
      </c>
      <c r="D24" s="15">
        <f>D11-D19</f>
        <v/>
      </c>
      <c r="E24" s="15">
        <f>E11-E19</f>
        <v/>
      </c>
      <c r="F24" s="15">
        <f>F11-F19</f>
        <v/>
      </c>
      <c r="G24" s="15">
        <f>G11-G19</f>
        <v/>
      </c>
    </row>
    <row r="25">
      <c r="A25" s="16" t="inlineStr">
        <is>
          <t>Profit Before Tax</t>
        </is>
      </c>
      <c r="B25" s="14" t="n">
        <v>2698</v>
      </c>
      <c r="C25" s="18">
        <f>C24-C21</f>
        <v/>
      </c>
      <c r="D25" s="18">
        <f>D24-D21</f>
        <v/>
      </c>
      <c r="E25" s="18">
        <f>E24-E21</f>
        <v/>
      </c>
      <c r="F25" s="18">
        <f>F24-F21</f>
        <v/>
      </c>
      <c r="G25" s="18">
        <f>G24-G21</f>
        <v/>
      </c>
    </row>
    <row r="26">
      <c r="A26" s="13" t="inlineStr">
        <is>
          <t>Tax</t>
        </is>
      </c>
      <c r="B26" s="14" t="n">
        <v>24</v>
      </c>
      <c r="C26" s="15">
        <f>C25*0.25</f>
        <v/>
      </c>
      <c r="D26" s="15">
        <f>D25*0.25</f>
        <v/>
      </c>
      <c r="E26" s="15">
        <f>E25*0.25</f>
        <v/>
      </c>
      <c r="F26" s="15">
        <f>F25*0.25</f>
        <v/>
      </c>
      <c r="G26" s="15">
        <f>G25*0.25</f>
        <v/>
      </c>
    </row>
    <row r="27">
      <c r="A27" s="16" t="inlineStr">
        <is>
          <t>Net Profit</t>
        </is>
      </c>
      <c r="B27" s="14" t="n">
        <v>2050</v>
      </c>
      <c r="C27" s="18">
        <f>C25-C26</f>
        <v/>
      </c>
      <c r="D27" s="18">
        <f>D25-D26</f>
        <v/>
      </c>
      <c r="E27" s="18">
        <f>E25-E26</f>
        <v/>
      </c>
      <c r="F27" s="18">
        <f>F25-F26</f>
        <v/>
      </c>
      <c r="G27" s="18">
        <f>G25-G26</f>
        <v/>
      </c>
    </row>
    <row r="28">
      <c r="A28" s="13" t="inlineStr">
        <is>
          <t>EPS (Rs.)</t>
        </is>
      </c>
      <c r="B28" s="14" t="n">
        <v>1161.18</v>
      </c>
      <c r="C28" s="15">
        <f>B28*(C27/B27)</f>
        <v/>
      </c>
      <c r="D28" s="15">
        <f>C28*(D27/C27)</f>
        <v/>
      </c>
      <c r="E28" s="15">
        <f>D28*(E27/D27)</f>
        <v/>
      </c>
      <c r="F28" s="15">
        <f>E28*(F27/E27)</f>
        <v/>
      </c>
      <c r="G28" s="15">
        <f>F28*(G27/F27)</f>
        <v/>
      </c>
    </row>
    <row r="29">
      <c r="A29" s="13" t="inlineStr">
        <is>
          <t>Dividend Payout (%)</t>
        </is>
      </c>
      <c r="B29" s="14" t="n">
        <v>-0</v>
      </c>
      <c r="C29" s="15">
        <f>B29</f>
        <v/>
      </c>
      <c r="D29" s="15">
        <f>C29</f>
        <v/>
      </c>
      <c r="E29" s="15">
        <f>D29</f>
        <v/>
      </c>
      <c r="F29" s="15">
        <f>E29</f>
        <v/>
      </c>
      <c r="G29" s="15">
        <f>F29</f>
        <v/>
      </c>
    </row>
    <row r="31">
      <c r="A31" s="20" t="inlineStr">
        <is>
          <t>Net Profit Growth (%)</t>
        </is>
      </c>
      <c r="C31" s="21">
        <f>IF(B27=0,0,(C27/B27-1)*100)</f>
        <v/>
      </c>
      <c r="D31" s="21">
        <f>IF(C27=0,0,(D27/C27-1)*100)</f>
        <v/>
      </c>
      <c r="E31" s="21">
        <f>IF(D27=0,0,(E27/D27-1)*100)</f>
        <v/>
      </c>
      <c r="F31" s="21">
        <f>IF(E27=0,0,(F27/E27-1)*100)</f>
        <v/>
      </c>
      <c r="G31" s="21">
        <f>IF(F27=0,0,(G27/F27-1)*100)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2025</t>
        </is>
      </c>
      <c r="C4" s="12" t="inlineStr">
        <is>
          <t>FY26E</t>
        </is>
      </c>
      <c r="D4" s="12" t="inlineStr">
        <is>
          <t>FY27E</t>
        </is>
      </c>
      <c r="E4" s="12" t="inlineStr">
        <is>
          <t>FY28E</t>
        </is>
      </c>
      <c r="F4" s="12" t="inlineStr">
        <is>
          <t>FY29E</t>
        </is>
      </c>
      <c r="G4" s="12" t="inlineStr">
        <is>
          <t>FY30E</t>
        </is>
      </c>
    </row>
    <row r="5">
      <c r="A5" s="16" t="inlineStr">
        <is>
          <t>LIABILITIES</t>
        </is>
      </c>
      <c r="C5" s="22" t="n"/>
      <c r="D5" s="22" t="n"/>
      <c r="E5" s="22" t="n"/>
      <c r="F5" s="22" t="n"/>
      <c r="G5" s="22" t="n"/>
    </row>
    <row r="6">
      <c r="A6" s="13" t="inlineStr">
        <is>
          <t>Equity Capital</t>
        </is>
      </c>
      <c r="B6" s="19" t="n"/>
      <c r="C6" s="15">
        <f>B6</f>
        <v/>
      </c>
      <c r="D6" s="15">
        <f>C6</f>
        <v/>
      </c>
      <c r="E6" s="15">
        <f>D6</f>
        <v/>
      </c>
      <c r="F6" s="15">
        <f>E6</f>
        <v/>
      </c>
      <c r="G6" s="15">
        <f>F6</f>
        <v/>
      </c>
    </row>
    <row r="7">
      <c r="A7" s="13" t="inlineStr">
        <is>
          <t>Reserves</t>
        </is>
      </c>
      <c r="B7" s="19" t="n"/>
      <c r="C7" s="15">
        <f>B7+'P&amp;L'!C27*0.70</f>
        <v/>
      </c>
      <c r="D7" s="15">
        <f>C7+'P&amp;L'!D27*0.70</f>
        <v/>
      </c>
      <c r="E7" s="15">
        <f>D7+'P&amp;L'!E27*0.70</f>
        <v/>
      </c>
      <c r="F7" s="15">
        <f>E7+'P&amp;L'!F27*0.70</f>
        <v/>
      </c>
      <c r="G7" s="15">
        <f>F7+'P&amp;L'!G27*0.70</f>
        <v/>
      </c>
    </row>
    <row r="8">
      <c r="A8" s="16" t="inlineStr">
        <is>
          <t>Total Equity</t>
        </is>
      </c>
      <c r="B8" s="17">
        <f>B6+B7</f>
        <v/>
      </c>
      <c r="C8" s="18">
        <f>C6+C7</f>
        <v/>
      </c>
      <c r="D8" s="18">
        <f>D6+D7</f>
        <v/>
      </c>
      <c r="E8" s="18">
        <f>E6+E7</f>
        <v/>
      </c>
      <c r="F8" s="18">
        <f>F6+F7</f>
        <v/>
      </c>
      <c r="G8" s="18">
        <f>G6+G7</f>
        <v/>
      </c>
    </row>
    <row r="10">
      <c r="A10" s="13" t="inlineStr">
        <is>
          <t>Deposits</t>
        </is>
      </c>
      <c r="B10" s="19" t="n"/>
      <c r="C10" s="15">
        <f>B10*1.12</f>
        <v/>
      </c>
      <c r="D10" s="15">
        <f>C10*1.12</f>
        <v/>
      </c>
      <c r="E10" s="15">
        <f>D10*1.12</f>
        <v/>
      </c>
      <c r="F10" s="15">
        <f>E10*1.12</f>
        <v/>
      </c>
      <c r="G10" s="15">
        <f>F10*1.12</f>
        <v/>
      </c>
    </row>
    <row r="11">
      <c r="A11" s="13" t="inlineStr">
        <is>
          <t>CASA Deposits</t>
        </is>
      </c>
      <c r="B11" s="19" t="n"/>
      <c r="C11" s="15">
        <f>B11*1.14</f>
        <v/>
      </c>
      <c r="D11" s="15">
        <f>C11*1.14</f>
        <v/>
      </c>
      <c r="E11" s="15">
        <f>D11*1.14</f>
        <v/>
      </c>
      <c r="F11" s="15">
        <f>E11*1.14</f>
        <v/>
      </c>
      <c r="G11" s="15">
        <f>F11*1.14</f>
        <v/>
      </c>
    </row>
    <row r="12">
      <c r="A12" s="13" t="inlineStr">
        <is>
          <t>Borrowings</t>
        </is>
      </c>
      <c r="B12" s="19" t="n"/>
      <c r="C12" s="15">
        <f>B12*1.08</f>
        <v/>
      </c>
      <c r="D12" s="15">
        <f>C12*1.08</f>
        <v/>
      </c>
      <c r="E12" s="15">
        <f>D12*1.08</f>
        <v/>
      </c>
      <c r="F12" s="15">
        <f>E12*1.08</f>
        <v/>
      </c>
      <c r="G12" s="15">
        <f>F12*1.08</f>
        <v/>
      </c>
    </row>
    <row r="13">
      <c r="A13" s="13" t="inlineStr">
        <is>
          <t>Other Liabilities</t>
        </is>
      </c>
      <c r="B13" s="19" t="n"/>
      <c r="C13" s="15">
        <f>B13*1.10</f>
        <v/>
      </c>
      <c r="D13" s="15">
        <f>C13*1.10</f>
        <v/>
      </c>
      <c r="E13" s="15">
        <f>D13*1.10</f>
        <v/>
      </c>
      <c r="F13" s="15">
        <f>E13*1.10</f>
        <v/>
      </c>
      <c r="G13" s="15">
        <f>F13*1.10</f>
        <v/>
      </c>
    </row>
    <row r="14">
      <c r="A14" s="16" t="inlineStr">
        <is>
          <t>Total Liabilities</t>
        </is>
      </c>
      <c r="B14" s="19" t="n"/>
      <c r="C14" s="18">
        <f>C8+C10+C12+C13</f>
        <v/>
      </c>
      <c r="D14" s="18">
        <f>D8+D10+D12+D13</f>
        <v/>
      </c>
      <c r="E14" s="18">
        <f>E8+E10+E12+E13</f>
        <v/>
      </c>
      <c r="F14" s="18">
        <f>F8+F10+F12+F13</f>
        <v/>
      </c>
      <c r="G14" s="18">
        <f>G8+G10+G12+G13</f>
        <v/>
      </c>
    </row>
    <row r="16">
      <c r="A16" s="16" t="inlineStr">
        <is>
          <t>ASSETS</t>
        </is>
      </c>
      <c r="C16" s="22" t="n"/>
      <c r="D16" s="22" t="n"/>
      <c r="E16" s="22" t="n"/>
      <c r="F16" s="22" t="n"/>
      <c r="G16" s="22" t="n"/>
    </row>
    <row r="17">
      <c r="A17" s="13" t="inlineStr">
        <is>
          <t>Cash &amp; Bank Balances</t>
        </is>
      </c>
      <c r="B17" s="19" t="n"/>
      <c r="C17" s="15">
        <f>B17*1.08</f>
        <v/>
      </c>
      <c r="D17" s="15">
        <f>C17*1.08</f>
        <v/>
      </c>
      <c r="E17" s="15">
        <f>D17*1.08</f>
        <v/>
      </c>
      <c r="F17" s="15">
        <f>E17*1.08</f>
        <v/>
      </c>
      <c r="G17" s="15">
        <f>F17*1.08</f>
        <v/>
      </c>
    </row>
    <row r="18">
      <c r="A18" s="13" t="inlineStr">
        <is>
          <t>Fixed Assets</t>
        </is>
      </c>
      <c r="B18" s="19" t="n"/>
      <c r="C18" s="15">
        <f>B18*1.05</f>
        <v/>
      </c>
      <c r="D18" s="15">
        <f>C18*1.05</f>
        <v/>
      </c>
      <c r="E18" s="15">
        <f>D18*1.05</f>
        <v/>
      </c>
      <c r="F18" s="15">
        <f>E18*1.05</f>
        <v/>
      </c>
      <c r="G18" s="15">
        <f>F18*1.05</f>
        <v/>
      </c>
    </row>
    <row r="19">
      <c r="A19" s="13" t="inlineStr">
        <is>
          <t>CWIP</t>
        </is>
      </c>
      <c r="B19" s="19" t="n"/>
      <c r="C19" s="15">
        <f>B19*1.02</f>
        <v/>
      </c>
      <c r="D19" s="15">
        <f>C19*1.02</f>
        <v/>
      </c>
      <c r="E19" s="15">
        <f>D19*1.02</f>
        <v/>
      </c>
      <c r="F19" s="15">
        <f>E19*1.02</f>
        <v/>
      </c>
      <c r="G19" s="15">
        <f>F19*1.02</f>
        <v/>
      </c>
    </row>
    <row r="20">
      <c r="A20" s="13" t="inlineStr">
        <is>
          <t>Investments</t>
        </is>
      </c>
      <c r="B20" s="19" t="n"/>
      <c r="C20" s="15">
        <f>B20*1.10</f>
        <v/>
      </c>
      <c r="D20" s="15">
        <f>C20*1.10</f>
        <v/>
      </c>
      <c r="E20" s="15">
        <f>D20*1.10</f>
        <v/>
      </c>
      <c r="F20" s="15">
        <f>E20*1.10</f>
        <v/>
      </c>
      <c r="G20" s="15">
        <f>F20*1.10</f>
        <v/>
      </c>
    </row>
    <row r="21">
      <c r="A21" s="13" t="inlineStr">
        <is>
          <t>Advances</t>
        </is>
      </c>
      <c r="B21" s="19" t="n"/>
      <c r="C21" s="15">
        <f>B21*1.12</f>
        <v/>
      </c>
      <c r="D21" s="15">
        <f>C21*1.12</f>
        <v/>
      </c>
      <c r="E21" s="15">
        <f>D21*1.12</f>
        <v/>
      </c>
      <c r="F21" s="15">
        <f>E21*1.12</f>
        <v/>
      </c>
      <c r="G21" s="15">
        <f>F21*1.12</f>
        <v/>
      </c>
    </row>
    <row r="22">
      <c r="A22" s="13" t="inlineStr">
        <is>
          <t>Other Assets</t>
        </is>
      </c>
      <c r="B22" s="19" t="n"/>
      <c r="C22" s="15">
        <f>B22*1.08</f>
        <v/>
      </c>
      <c r="D22" s="15">
        <f>C22*1.08</f>
        <v/>
      </c>
      <c r="E22" s="15">
        <f>D22*1.08</f>
        <v/>
      </c>
      <c r="F22" s="15">
        <f>E22*1.08</f>
        <v/>
      </c>
      <c r="G22" s="15">
        <f>F22*1.08</f>
        <v/>
      </c>
    </row>
    <row r="23">
      <c r="A23" s="16" t="inlineStr">
        <is>
          <t>Total Assets</t>
        </is>
      </c>
      <c r="B23" s="19" t="n"/>
      <c r="C23" s="18">
        <f>C14</f>
        <v/>
      </c>
      <c r="D23" s="18">
        <f>D14</f>
        <v/>
      </c>
      <c r="E23" s="18">
        <f>E14</f>
        <v/>
      </c>
      <c r="F23" s="18">
        <f>F14</f>
        <v/>
      </c>
      <c r="G23" s="18">
        <f>G14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2025</t>
        </is>
      </c>
      <c r="C4" s="12" t="inlineStr">
        <is>
          <t>FY26E</t>
        </is>
      </c>
      <c r="D4" s="12" t="inlineStr">
        <is>
          <t>FY27E</t>
        </is>
      </c>
      <c r="E4" s="12" t="inlineStr">
        <is>
          <t>FY28E</t>
        </is>
      </c>
      <c r="F4" s="12" t="inlineStr">
        <is>
          <t>FY29E</t>
        </is>
      </c>
      <c r="G4" s="12" t="inlineStr">
        <is>
          <t>FY30E</t>
        </is>
      </c>
    </row>
    <row r="5">
      <c r="A5" s="23" t="inlineStr"/>
      <c r="B5" s="24" t="n"/>
      <c r="C5" s="24" t="n"/>
      <c r="D5" s="24" t="n"/>
      <c r="E5" s="24" t="n"/>
      <c r="F5" s="24" t="n"/>
      <c r="G5" s="24" t="n"/>
    </row>
    <row r="6">
      <c r="A6" s="23" t="inlineStr">
        <is>
          <t>PROFITABILITY</t>
        </is>
      </c>
      <c r="B6" s="24" t="n"/>
      <c r="C6" s="24" t="n"/>
      <c r="D6" s="24" t="n"/>
      <c r="E6" s="24" t="n"/>
      <c r="F6" s="24" t="n"/>
      <c r="G6" s="24" t="n"/>
    </row>
    <row r="7">
      <c r="A7" s="13" t="inlineStr">
        <is>
          <t>Net Profit (PAT)</t>
        </is>
      </c>
      <c r="B7" s="22">
        <f>'P&amp;L'!B27</f>
        <v/>
      </c>
      <c r="C7" s="25">
        <f>'P&amp;L'!C27</f>
        <v/>
      </c>
      <c r="D7" s="25">
        <f>'P&amp;L'!D27</f>
        <v/>
      </c>
      <c r="E7" s="25">
        <f>'P&amp;L'!E27</f>
        <v/>
      </c>
      <c r="F7" s="25">
        <f>'P&amp;L'!F27</f>
        <v/>
      </c>
      <c r="G7" s="25">
        <f>'P&amp;L'!G27</f>
        <v/>
      </c>
    </row>
    <row r="8">
      <c r="A8" s="13" t="inlineStr">
        <is>
          <t>Revenue</t>
        </is>
      </c>
      <c r="B8" s="22">
        <f>'P&amp;L'!B5</f>
        <v/>
      </c>
      <c r="C8" s="25">
        <f>'P&amp;L'!C5</f>
        <v/>
      </c>
      <c r="D8" s="25">
        <f>'P&amp;L'!D5</f>
        <v/>
      </c>
      <c r="E8" s="25">
        <f>'P&amp;L'!E5</f>
        <v/>
      </c>
      <c r="F8" s="25">
        <f>'P&amp;L'!F5</f>
        <v/>
      </c>
      <c r="G8" s="25">
        <f>'P&amp;L'!G5</f>
        <v/>
      </c>
    </row>
    <row r="9">
      <c r="A9" s="13" t="inlineStr">
        <is>
          <t>Net Profit Margin (%)</t>
        </is>
      </c>
      <c r="B9" s="26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7">
        <f>IF(F8=0,0,F7/F8*100)</f>
        <v/>
      </c>
      <c r="G9" s="27">
        <f>IF(G8=0,0,G7/G8*100)</f>
        <v/>
      </c>
    </row>
    <row r="11">
      <c r="A11" s="23" t="inlineStr">
        <is>
          <t>EFFICIENCY</t>
        </is>
      </c>
      <c r="B11" s="24" t="n"/>
      <c r="C11" s="24" t="n"/>
      <c r="D11" s="24" t="n"/>
      <c r="E11" s="24" t="n"/>
      <c r="F11" s="24" t="n"/>
      <c r="G11" s="24" t="n"/>
    </row>
    <row r="12">
      <c r="A12" s="13" t="inlineStr">
        <is>
          <t>Revenue</t>
        </is>
      </c>
      <c r="B12" s="22">
        <f>'P&amp;L'!B5</f>
        <v/>
      </c>
      <c r="C12" s="25">
        <f>'P&amp;L'!C5</f>
        <v/>
      </c>
      <c r="D12" s="25">
        <f>'P&amp;L'!D5</f>
        <v/>
      </c>
      <c r="E12" s="25">
        <f>'P&amp;L'!E5</f>
        <v/>
      </c>
      <c r="F12" s="25">
        <f>'P&amp;L'!F5</f>
        <v/>
      </c>
      <c r="G12" s="25">
        <f>'P&amp;L'!G5</f>
        <v/>
      </c>
    </row>
    <row r="13">
      <c r="A13" s="13" t="inlineStr">
        <is>
          <t>Average Total Assets</t>
        </is>
      </c>
      <c r="B13" s="22">
        <f>'Balance Sheet'!B23</f>
        <v/>
      </c>
      <c r="C13" s="25">
        <f>('Balance Sheet'!C23+'Balance Sheet'!B23)/2</f>
        <v/>
      </c>
      <c r="D13" s="25">
        <f>('Balance Sheet'!D23+'Balance Sheet'!C23)/2</f>
        <v/>
      </c>
      <c r="E13" s="25">
        <f>('Balance Sheet'!E23+'Balance Sheet'!D23)/2</f>
        <v/>
      </c>
      <c r="F13" s="25">
        <f>('Balance Sheet'!F23+'Balance Sheet'!E23)/2</f>
        <v/>
      </c>
      <c r="G13" s="25">
        <f>('Balance Sheet'!G23+'Balance Sheet'!F23)/2</f>
        <v/>
      </c>
    </row>
    <row r="14">
      <c r="A14" s="13" t="inlineStr">
        <is>
          <t>Asset Turnover (x)</t>
        </is>
      </c>
      <c r="B14" s="26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7">
        <f>IF(F13=0,0,F12/F13)</f>
        <v/>
      </c>
      <c r="G14" s="27">
        <f>IF(G13=0,0,G12/G13)</f>
        <v/>
      </c>
    </row>
    <row r="16">
      <c r="A16" s="23" t="inlineStr">
        <is>
          <t>LEVERAGE</t>
        </is>
      </c>
      <c r="B16" s="24" t="n"/>
      <c r="C16" s="24" t="n"/>
      <c r="D16" s="24" t="n"/>
      <c r="E16" s="24" t="n"/>
      <c r="F16" s="24" t="n"/>
      <c r="G16" s="24" t="n"/>
    </row>
    <row r="17">
      <c r="A17" s="13" t="inlineStr">
        <is>
          <t>Average Total Assets</t>
        </is>
      </c>
      <c r="B17" s="22">
        <f>'Balance Sheet'!B23</f>
        <v/>
      </c>
      <c r="C17" s="25">
        <f>('Balance Sheet'!C23+'Balance Sheet'!B23)/2</f>
        <v/>
      </c>
      <c r="D17" s="25">
        <f>('Balance Sheet'!D23+'Balance Sheet'!C23)/2</f>
        <v/>
      </c>
      <c r="E17" s="25">
        <f>('Balance Sheet'!E23+'Balance Sheet'!D23)/2</f>
        <v/>
      </c>
      <c r="F17" s="25">
        <f>('Balance Sheet'!F23+'Balance Sheet'!E23)/2</f>
        <v/>
      </c>
      <c r="G17" s="25">
        <f>('Balance Sheet'!G23+'Balance Sheet'!F23)/2</f>
        <v/>
      </c>
    </row>
    <row r="18">
      <c r="A18" s="13" t="inlineStr">
        <is>
          <t>Average Equity</t>
        </is>
      </c>
      <c r="B18" s="22">
        <f>'Balance Sheet'!B8</f>
        <v/>
      </c>
      <c r="C18" s="25">
        <f>('Balance Sheet'!C8+'Balance Sheet'!B8)/2</f>
        <v/>
      </c>
      <c r="D18" s="25">
        <f>('Balance Sheet'!D8+'Balance Sheet'!C8)/2</f>
        <v/>
      </c>
      <c r="E18" s="25">
        <f>('Balance Sheet'!E8+'Balance Sheet'!D8)/2</f>
        <v/>
      </c>
      <c r="F18" s="25">
        <f>('Balance Sheet'!F8+'Balance Sheet'!E8)/2</f>
        <v/>
      </c>
      <c r="G18" s="25">
        <f>('Balance Sheet'!G8+'Balance Sheet'!F8)/2</f>
        <v/>
      </c>
    </row>
    <row r="19">
      <c r="A19" s="13" t="inlineStr">
        <is>
          <t>Equity Multiplier (x)</t>
        </is>
      </c>
      <c r="B19" s="26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7">
        <f>IF(F18=0,0,F17/F18)</f>
        <v/>
      </c>
      <c r="G19" s="27">
        <f>IF(G18=0,0,G17/G18)</f>
        <v/>
      </c>
    </row>
    <row r="21">
      <c r="A21" s="23" t="inlineStr">
        <is>
          <t>ROE CALCULATION</t>
        </is>
      </c>
      <c r="B21" s="24" t="n"/>
      <c r="C21" s="24" t="n"/>
      <c r="D21" s="24" t="n"/>
      <c r="E21" s="24" t="n"/>
      <c r="F21" s="24" t="n"/>
      <c r="G21" s="24" t="n"/>
    </row>
    <row r="22">
      <c r="A22" s="13" t="inlineStr">
        <is>
          <t>ROE (%)</t>
        </is>
      </c>
      <c r="B22" s="28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29">
        <f>IF(F18=0,0,F7/F18*100)</f>
        <v/>
      </c>
      <c r="G22" s="29">
        <f>IF(G18=0,0,G7/G18*100)</f>
        <v/>
      </c>
    </row>
    <row r="23">
      <c r="A23" s="13" t="inlineStr">
        <is>
          <t>ROE Check: NPM x AT x EM (%)</t>
        </is>
      </c>
      <c r="B23" s="30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1">
        <f>F9/100*F14*F19*100</f>
        <v/>
      </c>
      <c r="G23" s="31">
        <f>G9/100*G14*G19*100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2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2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3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4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2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5" t="n">
        <v>1538</v>
      </c>
      <c r="C12" s="13" t="n"/>
    </row>
    <row r="13">
      <c r="A13" s="13" t="n"/>
      <c r="B13" s="13" t="n"/>
      <c r="C13" s="13" t="n"/>
    </row>
    <row r="14">
      <c r="A14" s="36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7">
        <f>'P&amp;L'!C27</f>
        <v/>
      </c>
      <c r="C17" s="37">
        <f>'P&amp;L'!D27</f>
        <v/>
      </c>
      <c r="D17" s="38">
        <f>'P&amp;L'!E27</f>
        <v/>
      </c>
      <c r="E17" s="38">
        <f>'P&amp;L'!F27</f>
        <v/>
      </c>
      <c r="F17" s="38">
        <f>'P&amp;L'!G27</f>
        <v/>
      </c>
    </row>
    <row r="18">
      <c r="A18" s="13" t="inlineStr">
        <is>
          <t>Shareholders' Equity (Rs. Cr)</t>
        </is>
      </c>
      <c r="B18" s="37">
        <f>'Balance Sheet'!C8</f>
        <v/>
      </c>
      <c r="C18" s="37">
        <f>'Balance Sheet'!D8</f>
        <v/>
      </c>
      <c r="D18" s="38">
        <f>'Balance Sheet'!E8</f>
        <v/>
      </c>
      <c r="E18" s="38">
        <f>'Balance Sheet'!F8</f>
        <v/>
      </c>
      <c r="F18" s="38">
        <f>'Balance Sheet'!G8</f>
        <v/>
      </c>
    </row>
    <row r="19">
      <c r="A19" s="13" t="inlineStr">
        <is>
          <t>Opening Equity (Rs. Cr)</t>
        </is>
      </c>
      <c r="B19" s="37">
        <f>'Balance Sheet'!B8</f>
        <v/>
      </c>
      <c r="C19" s="37">
        <f>B18</f>
        <v/>
      </c>
      <c r="D19" s="38">
        <f>C18</f>
        <v/>
      </c>
      <c r="E19" s="38">
        <f>D18</f>
        <v/>
      </c>
      <c r="F19" s="38">
        <f>E18</f>
        <v/>
      </c>
    </row>
    <row r="20">
      <c r="A20" s="13" t="inlineStr">
        <is>
          <t>Average Equity (Rs. Cr)</t>
        </is>
      </c>
      <c r="B20" s="37">
        <f>(B18+B19)/2</f>
        <v/>
      </c>
      <c r="C20" s="37">
        <f>(C18+C19)/2</f>
        <v/>
      </c>
      <c r="D20" s="38">
        <f>(D18+D19)/2</f>
        <v/>
      </c>
      <c r="E20" s="38">
        <f>(E18+E19)/2</f>
        <v/>
      </c>
      <c r="F20" s="38">
        <f>(F18+F19)/2</f>
        <v/>
      </c>
    </row>
    <row r="21">
      <c r="A21" s="16" t="inlineStr">
        <is>
          <t>ROE (%)</t>
        </is>
      </c>
      <c r="B21" s="39">
        <f>IF(B20=0,0,B17/B20)</f>
        <v/>
      </c>
      <c r="C21" s="39">
        <f>IF(C20=0,0,C17/C20)</f>
        <v/>
      </c>
      <c r="D21" s="40">
        <f>IF(D20=0,0,D17/D20)</f>
        <v/>
      </c>
      <c r="E21" s="40">
        <f>IF(E20=0,0,E17/E20)</f>
        <v/>
      </c>
      <c r="F21" s="40">
        <f>IF(F20=0,0,F17/F20)</f>
        <v/>
      </c>
    </row>
    <row r="22">
      <c r="A22" s="13" t="n"/>
      <c r="B22" s="13" t="n"/>
      <c r="C22" s="13" t="n"/>
    </row>
    <row r="23">
      <c r="A23" s="36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7">
        <f>B19*$B$10</f>
        <v/>
      </c>
      <c r="C26" s="37">
        <f>C19*$B$10</f>
        <v/>
      </c>
      <c r="D26" s="38">
        <f>D19*$B$10</f>
        <v/>
      </c>
      <c r="E26" s="38">
        <f>E19*$B$10</f>
        <v/>
      </c>
      <c r="F26" s="38">
        <f>F19*$B$10</f>
        <v/>
      </c>
    </row>
    <row r="27">
      <c r="A27" s="16" t="inlineStr">
        <is>
          <t>Residual Income (Rs. Cr)</t>
        </is>
      </c>
      <c r="B27" s="41">
        <f>B17-B26</f>
        <v/>
      </c>
      <c r="C27" s="41">
        <f>C17-C26</f>
        <v/>
      </c>
      <c r="D27" s="42">
        <f>D17-D26</f>
        <v/>
      </c>
      <c r="E27" s="42">
        <f>E17-E26</f>
        <v/>
      </c>
      <c r="F27" s="42">
        <f>F17-F26</f>
        <v/>
      </c>
    </row>
    <row r="28">
      <c r="A28" s="13" t="inlineStr">
        <is>
          <t>Discount Factor</t>
        </is>
      </c>
      <c r="B28" s="43">
        <f>1/(1+$B$10)^1</f>
        <v/>
      </c>
      <c r="C28" s="43">
        <f>1/(1+$B$10)^2</f>
        <v/>
      </c>
      <c r="D28" s="44">
        <f>1/(1+$B$10)^3</f>
        <v/>
      </c>
      <c r="E28" s="44">
        <f>1/(1+$B$10)^4</f>
        <v/>
      </c>
      <c r="F28" s="44">
        <f>1/(1+$B$10)^5</f>
        <v/>
      </c>
    </row>
    <row r="29">
      <c r="A29" s="13" t="inlineStr">
        <is>
          <t>PV of Residual Income (Rs. Cr)</t>
        </is>
      </c>
      <c r="B29" s="37">
        <f>B27*B28</f>
        <v/>
      </c>
      <c r="C29" s="37">
        <f>C27*C28</f>
        <v/>
      </c>
      <c r="D29" s="38">
        <f>D27*D28</f>
        <v/>
      </c>
      <c r="E29" s="38">
        <f>E27*E28</f>
        <v/>
      </c>
      <c r="F29" s="38">
        <f>F27*F28</f>
        <v/>
      </c>
    </row>
    <row r="30">
      <c r="A30" s="13" t="n"/>
      <c r="B30" s="13" t="n"/>
      <c r="C30" s="13" t="n"/>
    </row>
    <row r="31">
      <c r="A31" s="36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5">
        <f>'Balance Sheet'!B8</f>
        <v/>
      </c>
      <c r="C33" s="13" t="n"/>
    </row>
    <row r="34">
      <c r="A34" s="13" t="inlineStr">
        <is>
          <t>Sum of PV of RI (Rs. Cr)</t>
        </is>
      </c>
      <c r="B34" s="45">
        <f>B29+C29+D29+E29+F29</f>
        <v/>
      </c>
      <c r="C34" s="13" t="n"/>
    </row>
    <row r="35">
      <c r="A35" s="13" t="inlineStr">
        <is>
          <t>Terminal Value (Rs. Cr)</t>
        </is>
      </c>
      <c r="B35" s="45">
        <f>F27*(1+$B$11)/($B$10-$B$11)*F28</f>
        <v/>
      </c>
      <c r="C35" s="13" t="n"/>
    </row>
    <row r="36">
      <c r="A36" s="16" t="inlineStr">
        <is>
          <t>Total Equity Value (Rs. Cr)</t>
        </is>
      </c>
      <c r="B36" s="46">
        <f>B33+B34+B35</f>
        <v/>
      </c>
      <c r="C36" s="13" t="n"/>
    </row>
    <row r="37">
      <c r="A37" s="13" t="n"/>
      <c r="B37" s="13" t="n"/>
      <c r="C37" s="13" t="n"/>
    </row>
    <row r="38">
      <c r="A38" s="36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7" t="inlineStr">
        <is>
          <t>Fair Value per Share (Rs.)</t>
        </is>
      </c>
      <c r="B40" s="48">
        <f>B36/B12</f>
        <v/>
      </c>
      <c r="C40" s="13" t="n"/>
    </row>
    <row r="41">
      <c r="A41" s="13" t="inlineStr">
        <is>
          <t>Current Market Price (Rs.)</t>
        </is>
      </c>
      <c r="B41" s="49" t="n">
        <v>3116.6</v>
      </c>
      <c r="C41" s="13" t="n"/>
    </row>
    <row r="42">
      <c r="A42" s="16" t="inlineStr">
        <is>
          <t>Upside / Downside (%)</t>
        </is>
      </c>
      <c r="B42" s="34">
        <f>(B40-B41)/B41</f>
        <v/>
      </c>
      <c r="C42" s="13" t="n"/>
    </row>
    <row r="43">
      <c r="A43" s="13" t="n"/>
      <c r="B43" s="13" t="n"/>
      <c r="C43" s="13" t="n"/>
    </row>
    <row r="44">
      <c r="A44" s="36" t="inlineStr">
        <is>
          <t>RECOMMENDATION</t>
        </is>
      </c>
      <c r="B44" s="13" t="n"/>
      <c r="C44" s="13" t="n"/>
    </row>
    <row r="45">
      <c r="A45" s="50" t="inlineStr">
        <is>
          <t>HOLD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PEER COMPARISON</t>
        </is>
      </c>
    </row>
    <row r="3">
      <c r="A3" t="inlineStr">
        <is>
          <t>No peer data 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(ICICIAMC)</t>
        </is>
      </c>
    </row>
    <row r="4">
      <c r="A4" s="51" t="inlineStr">
        <is>
          <t>HOLD | Target: Rs.3,400 | Upside: 9.1%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2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2026-02-23T08:19:02Z</dcterms:created>
  <dcterms:modified xmlns:dcterms="http://purl.org/dc/terms/" xmlns:xsi="http://www.w3.org/2001/XMLSchema-instance" xsi:type="dcterms:W3CDTF">2026-02-23T08:19:02Z</dcterms:modified>
</cp:coreProperties>
</file>