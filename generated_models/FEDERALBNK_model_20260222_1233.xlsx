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CC00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CC00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12" fillId="3" borderId="1" applyAlignment="1" pivotButton="0" quotePrefix="0" xfId="0">
      <alignment horizontal="right"/>
    </xf>
    <xf numFmtId="4" fontId="12" fillId="0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4" borderId="1" applyAlignment="1" pivotButton="0" quotePrefix="0" xfId="0">
      <alignment horizontal="right"/>
    </xf>
    <xf numFmtId="0" fontId="12" fillId="0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4" borderId="1" pivotButton="0" quotePrefix="0" xfId="0"/>
    <xf numFmtId="0" fontId="0" fillId="0" borderId="1" applyAlignment="1" pivotButton="0" quotePrefix="0" xfId="0">
      <alignment horizontal="right"/>
    </xf>
    <xf numFmtId="0" fontId="14" fillId="5" borderId="1" pivotButton="0" quotePrefix="0" xfId="0"/>
    <xf numFmtId="0" fontId="0" fillId="5" borderId="1" pivotButton="0" quotePrefix="0" xfId="0"/>
    <xf numFmtId="0" fontId="0" fillId="4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4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4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3" borderId="1" pivotButton="0" quotePrefix="0" xfId="0"/>
    <xf numFmtId="2" fontId="0" fillId="3" borderId="1" pivotButton="0" quotePrefix="0" xfId="0"/>
    <xf numFmtId="165" fontId="6" fillId="0" borderId="1" pivotButton="0" quotePrefix="0" xfId="0"/>
    <xf numFmtId="4" fontId="0" fillId="3" borderId="1" pivotButton="0" quotePrefix="0" xfId="0"/>
    <xf numFmtId="0" fontId="5" fillId="0" borderId="1" pivotButton="0" quotePrefix="0" xfId="0"/>
    <xf numFmtId="3" fontId="0" fillId="4" borderId="1" pivotButton="0" quotePrefix="0" xfId="0"/>
    <xf numFmtId="3" fontId="0" fillId="4" borderId="0" pivotButton="0" quotePrefix="0" xfId="0"/>
    <xf numFmtId="165" fontId="6" fillId="4" borderId="1" pivotButton="0" quotePrefix="0" xfId="0"/>
    <xf numFmtId="165" fontId="6" fillId="4" borderId="0" pivotButton="0" quotePrefix="0" xfId="0"/>
    <xf numFmtId="3" fontId="6" fillId="4" borderId="1" pivotButton="0" quotePrefix="0" xfId="0"/>
    <xf numFmtId="3" fontId="6" fillId="4" borderId="0" pivotButton="0" quotePrefix="0" xfId="0"/>
    <xf numFmtId="166" fontId="0" fillId="4" borderId="1" pivotButton="0" quotePrefix="0" xfId="0"/>
    <xf numFmtId="166" fontId="0" fillId="4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2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The Federal Bank Limited</t>
        </is>
      </c>
    </row>
    <row r="3">
      <c r="A3" s="3" t="inlineStr">
        <is>
          <t>Ticker: FEDERALBNK</t>
        </is>
      </c>
    </row>
    <row r="5">
      <c r="A5" s="4" t="inlineStr">
        <is>
          <t>Generated: 22 February 2026 12:33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Financial Services</t>
        </is>
      </c>
    </row>
    <row r="9">
      <c r="A9" t="inlineStr">
        <is>
          <t>Market Cap</t>
        </is>
      </c>
      <c r="B9" s="6" t="inlineStr">
        <is>
          <t>Rs.72,068 Cr</t>
        </is>
      </c>
    </row>
    <row r="10">
      <c r="A10" t="inlineStr">
        <is>
          <t>Current Price</t>
        </is>
      </c>
      <c r="B10" s="6" t="inlineStr">
        <is>
          <t>Rs.72,068.00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SELL</t>
        </is>
      </c>
    </row>
    <row r="15">
      <c r="A15" t="inlineStr">
        <is>
          <t>Target Price</t>
        </is>
      </c>
      <c r="B15" s="8" t="inlineStr">
        <is>
          <t>Rs.210</t>
        </is>
      </c>
    </row>
    <row r="16">
      <c r="A16" t="inlineStr">
        <is>
          <t>Upside</t>
        </is>
      </c>
      <c r="B16" t="inlineStr">
        <is>
          <t>-99.7%</t>
        </is>
      </c>
    </row>
    <row r="19">
      <c r="A19" s="5" t="inlineStr">
        <is>
          <t>INVESTMENT THESIS</t>
        </is>
      </c>
    </row>
    <row r="20">
      <c r="A20" s="9" t="inlineStr">
        <is>
          <t>SELL with target price of ₹210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5">
      <c r="A5" s="13" t="inlineStr">
        <is>
          <t>Loan/Advances Growth (%)</t>
        </is>
      </c>
      <c r="B5" s="14" t="n">
        <v>14</v>
      </c>
      <c r="C5" s="14" t="n">
        <v>15</v>
      </c>
      <c r="D5" s="14" t="n">
        <v>16</v>
      </c>
      <c r="E5" s="14" t="n">
        <v>15</v>
      </c>
      <c r="F5" s="14" t="n">
        <v>14</v>
      </c>
    </row>
    <row r="6">
      <c r="A6" s="13" t="inlineStr">
        <is>
          <t>Net Interest Margin (%)</t>
        </is>
      </c>
      <c r="B6" s="14" t="n">
        <v>3.1</v>
      </c>
      <c r="C6" s="14" t="n">
        <v>3.15</v>
      </c>
      <c r="D6" s="14" t="n">
        <v>3.2</v>
      </c>
      <c r="E6" s="14" t="n">
        <v>3.25</v>
      </c>
      <c r="F6" s="14" t="n">
        <v>3.3</v>
      </c>
    </row>
    <row r="7">
      <c r="A7" s="13" t="inlineStr">
        <is>
          <t>Return on Assets (%)</t>
        </is>
      </c>
      <c r="B7" s="14" t="n">
        <v>1.2</v>
      </c>
      <c r="C7" s="14" t="n">
        <v>1.3</v>
      </c>
      <c r="D7" s="14" t="n">
        <v>1.4</v>
      </c>
      <c r="E7" s="14" t="n">
        <v>1.5</v>
      </c>
      <c r="F7" s="14" t="n">
        <v>1.58</v>
      </c>
    </row>
    <row r="8">
      <c r="A8" s="13" t="inlineStr">
        <is>
          <t>Return on Equity (%)</t>
        </is>
      </c>
      <c r="B8" s="14" t="n">
        <v>12.5</v>
      </c>
      <c r="C8" s="14" t="n">
        <v>13.5</v>
      </c>
      <c r="D8" s="14" t="n">
        <v>14.5</v>
      </c>
      <c r="E8" s="14" t="n">
        <v>15.5</v>
      </c>
      <c r="F8" s="14" t="n">
        <v>16.2</v>
      </c>
    </row>
    <row r="9">
      <c r="A9" s="13" t="inlineStr">
        <is>
          <t>CASA Ratio (%)</t>
        </is>
      </c>
      <c r="B9" s="14" t="n">
        <v>44.5</v>
      </c>
      <c r="C9" s="14" t="n">
        <v>45.5</v>
      </c>
      <c r="D9" s="14" t="n">
        <v>46.5</v>
      </c>
      <c r="E9" s="14" t="n">
        <v>47.5</v>
      </c>
      <c r="F9" s="14" t="n">
        <v>48</v>
      </c>
    </row>
    <row r="10">
      <c r="A10" s="13" t="inlineStr">
        <is>
          <t>Credit Cost (%)</t>
        </is>
      </c>
      <c r="B10" s="14" t="n">
        <v>0.53</v>
      </c>
      <c r="C10" s="14" t="n">
        <v>0.5</v>
      </c>
      <c r="D10" s="14" t="n">
        <v>0.48</v>
      </c>
      <c r="E10" s="14" t="n">
        <v>0.45</v>
      </c>
      <c r="F10" s="14" t="n">
        <v>0.45</v>
      </c>
    </row>
    <row r="11">
      <c r="A11" s="13" t="inlineStr">
        <is>
          <t>Cost-to-Income (%)</t>
        </is>
      </c>
      <c r="B11" s="14" t="n">
        <v>53</v>
      </c>
      <c r="C11" s="14" t="n">
        <v>51.5</v>
      </c>
      <c r="D11" s="14" t="n">
        <v>50</v>
      </c>
      <c r="E11" s="14" t="n">
        <v>48.5</v>
      </c>
      <c r="F11" s="14" t="n">
        <v>47</v>
      </c>
    </row>
    <row r="14">
      <c r="A14" s="5" t="inlineStr">
        <is>
          <t>RATIONALE</t>
        </is>
      </c>
    </row>
    <row r="15">
      <c r="A15" s="9" t="inlineStr">
        <is>
          <t>FY26E: Credit cost of 52-53 bps per guidance; NIM compression to 3.10% due to Q4 rate cut impact and competitive pressures. Loan growth 14% driven by sustained momentum in commercial and business banking. CASA improvement to 44.5% as digitalization continues. Cost-to-income maintained at 53% with operating leverage. FY27E-FY30E: Gradual NIM recovery to 3.30% as CASA deepens and liability franchise strengthens. Loan growth 14-16% aligned with 1.2-1.4x nominal GDP growth and market share gains in commercial banking. CASA trajectory to 48% reflecting sustained retail franchise expansion. Credit costs normalize to 45-50 bps as asset quality stabilizes at decadal best levels. Cost-to-income improves to 47% through digital investments and scale benefits. ROA expands from 1.15% to 1.58% and ROE from 11.68% to 16.2% driven by improved profitability metrics, stable 15%+ CAR, and operating leverage. Conservative assumptions factor rate cycle uncertainties and competitive intensity in Indian banking.</t>
        </is>
      </c>
    </row>
  </sheetData>
  <mergeCells count="1"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3" t="inlineStr">
        <is>
          <t>Interest Earned</t>
        </is>
      </c>
      <c r="B5" s="15" t="n">
        <v>13590</v>
      </c>
      <c r="C5" s="15" t="n">
        <v>14314</v>
      </c>
      <c r="D5" s="15" t="n">
        <v>14382</v>
      </c>
      <c r="E5" s="15" t="n">
        <v>17812</v>
      </c>
      <c r="F5" s="15" t="n">
        <v>23565</v>
      </c>
      <c r="G5" s="16">
        <f>F5*1.12</f>
        <v/>
      </c>
      <c r="H5" s="16">
        <f>G5*1.12</f>
        <v/>
      </c>
      <c r="I5" s="16">
        <f>H5*1.12</f>
        <v/>
      </c>
      <c r="J5" s="16">
        <f>I5*1.12</f>
        <v/>
      </c>
      <c r="K5" s="16">
        <f>J5*1.12</f>
        <v/>
      </c>
    </row>
    <row r="6">
      <c r="A6" s="13" t="inlineStr">
        <is>
          <t>Interest on Advances</t>
        </is>
      </c>
      <c r="B6" s="15" t="n">
        <v>8678</v>
      </c>
      <c r="C6" s="15" t="n">
        <v>8435</v>
      </c>
      <c r="D6" s="15" t="n">
        <v>7959</v>
      </c>
      <c r="E6" s="15" t="n">
        <v>9975</v>
      </c>
      <c r="F6" s="15" t="n">
        <v>14495</v>
      </c>
      <c r="G6" s="16">
        <f>F6*1.10</f>
        <v/>
      </c>
      <c r="H6" s="16">
        <f>G6*1.10</f>
        <v/>
      </c>
      <c r="I6" s="16">
        <f>H6*1.10</f>
        <v/>
      </c>
      <c r="J6" s="16">
        <f>I6*1.10</f>
        <v/>
      </c>
      <c r="K6" s="16">
        <f>J6*1.10</f>
        <v/>
      </c>
    </row>
    <row r="7">
      <c r="A7" s="13" t="inlineStr">
        <is>
          <t>Income on Investments</t>
        </is>
      </c>
      <c r="G7" s="16">
        <f>F7*1.08</f>
        <v/>
      </c>
      <c r="H7" s="16">
        <f>G7*1.08</f>
        <v/>
      </c>
      <c r="I7" s="16">
        <f>H7*1.08</f>
        <v/>
      </c>
      <c r="J7" s="16">
        <f>I7*1.08</f>
        <v/>
      </c>
      <c r="K7" s="16">
        <f>J7*1.08</f>
        <v/>
      </c>
    </row>
    <row r="8">
      <c r="A8" s="13" t="inlineStr">
        <is>
          <t>Other Income</t>
        </is>
      </c>
      <c r="B8" s="15" t="n">
        <v>1882</v>
      </c>
      <c r="C8" s="15" t="n">
        <v>1972</v>
      </c>
      <c r="D8" s="15" t="n">
        <v>2121</v>
      </c>
      <c r="E8" s="15" t="n">
        <v>2436</v>
      </c>
      <c r="F8" s="15" t="n">
        <v>3216</v>
      </c>
      <c r="G8" s="16">
        <f>F8*1.08</f>
        <v/>
      </c>
      <c r="H8" s="16">
        <f>G8*1.08</f>
        <v/>
      </c>
      <c r="I8" s="16">
        <f>H8*1.08</f>
        <v/>
      </c>
      <c r="J8" s="16">
        <f>I8*1.08</f>
        <v/>
      </c>
      <c r="K8" s="16">
        <f>J8*1.08</f>
        <v/>
      </c>
    </row>
    <row r="9">
      <c r="A9" s="13" t="inlineStr">
        <is>
          <t>Commission &amp; Brokerage</t>
        </is>
      </c>
      <c r="G9" s="16">
        <f>F9*1.10</f>
        <v/>
      </c>
      <c r="H9" s="16">
        <f>G9*1.10</f>
        <v/>
      </c>
      <c r="I9" s="16">
        <f>H9*1.10</f>
        <v/>
      </c>
      <c r="J9" s="16">
        <f>I9*1.10</f>
        <v/>
      </c>
      <c r="K9" s="16">
        <f>J9*1.10</f>
        <v/>
      </c>
    </row>
    <row r="10">
      <c r="A10" s="13" t="inlineStr">
        <is>
          <t>Profit on Investments</t>
        </is>
      </c>
      <c r="G10" s="16">
        <f>F10*1.05</f>
        <v/>
      </c>
      <c r="H10" s="16">
        <f>G10*1.05</f>
        <v/>
      </c>
      <c r="I10" s="16">
        <f>H10*1.05</f>
        <v/>
      </c>
      <c r="J10" s="16">
        <f>I10*1.05</f>
        <v/>
      </c>
      <c r="K10" s="16">
        <f>J10*1.05</f>
        <v/>
      </c>
    </row>
    <row r="11">
      <c r="A11" s="17" t="inlineStr">
        <is>
          <t>Total Income</t>
        </is>
      </c>
      <c r="B11" s="18">
        <f>B5+B8+B9+B10</f>
        <v/>
      </c>
      <c r="C11" s="18">
        <f>C5+C8+C9+C10</f>
        <v/>
      </c>
      <c r="D11" s="18">
        <f>D5+D8+D9+D10</f>
        <v/>
      </c>
      <c r="E11" s="18">
        <f>E5+E8+E9+E10</f>
        <v/>
      </c>
      <c r="F11" s="18">
        <f>F5+F8+F9+F10</f>
        <v/>
      </c>
      <c r="G11" s="19">
        <f>G5+G8+G9+G10</f>
        <v/>
      </c>
      <c r="H11" s="19">
        <f>H5+H8+H9+H10</f>
        <v/>
      </c>
      <c r="I11" s="19">
        <f>I5+I8+I9+I10</f>
        <v/>
      </c>
      <c r="J11" s="19">
        <f>J5+J8+J9+J10</f>
        <v/>
      </c>
      <c r="K11" s="19">
        <f>K5+K8+K9+K10</f>
        <v/>
      </c>
    </row>
    <row r="13">
      <c r="A13" s="13" t="inlineStr">
        <is>
          <t>Interest Expended</t>
        </is>
      </c>
      <c r="G13" s="16">
        <f>F13*1.10</f>
        <v/>
      </c>
      <c r="H13" s="16">
        <f>G13*1.10</f>
        <v/>
      </c>
      <c r="I13" s="16">
        <f>H13*1.10</f>
        <v/>
      </c>
      <c r="J13" s="16">
        <f>I13*1.10</f>
        <v/>
      </c>
      <c r="K13" s="16">
        <f>J13*1.10</f>
        <v/>
      </c>
    </row>
    <row r="14">
      <c r="A14" s="13" t="inlineStr">
        <is>
          <t>Interest on Deposits</t>
        </is>
      </c>
      <c r="G14" s="16">
        <f>F14*1.10</f>
        <v/>
      </c>
      <c r="H14" s="16">
        <f>G14*1.10</f>
        <v/>
      </c>
      <c r="I14" s="16">
        <f>H14*1.10</f>
        <v/>
      </c>
      <c r="J14" s="16">
        <f>I14*1.10</f>
        <v/>
      </c>
      <c r="K14" s="16">
        <f>J14*1.10</f>
        <v/>
      </c>
    </row>
    <row r="15">
      <c r="A15" s="13" t="inlineStr">
        <is>
          <t>Operating Expenses</t>
        </is>
      </c>
      <c r="B15" s="15" t="n">
        <v>4608</v>
      </c>
      <c r="C15" s="15" t="n">
        <v>5527</v>
      </c>
      <c r="D15" s="15" t="n">
        <v>5758</v>
      </c>
      <c r="E15" s="15" t="n">
        <v>5828</v>
      </c>
      <c r="F15" s="15" t="n">
        <v>6792</v>
      </c>
      <c r="G15" s="16">
        <f>F15*1.10</f>
        <v/>
      </c>
      <c r="H15" s="16">
        <f>G15*1.10</f>
        <v/>
      </c>
      <c r="I15" s="16">
        <f>H15*1.10</f>
        <v/>
      </c>
      <c r="J15" s="16">
        <f>I15*1.10</f>
        <v/>
      </c>
      <c r="K15" s="16">
        <f>J15*1.10</f>
        <v/>
      </c>
    </row>
    <row r="16">
      <c r="A16" s="13" t="inlineStr">
        <is>
          <t>Employee Cost</t>
        </is>
      </c>
      <c r="B16" s="20" t="n"/>
      <c r="C16" s="20" t="n"/>
      <c r="D16" s="20" t="n"/>
      <c r="E16" s="20" t="n"/>
      <c r="F16" s="20" t="n"/>
      <c r="G16" s="16">
        <f>F16*1.08</f>
        <v/>
      </c>
      <c r="H16" s="16">
        <f>G16*1.08</f>
        <v/>
      </c>
      <c r="I16" s="16">
        <f>H16*1.08</f>
        <v/>
      </c>
      <c r="J16" s="16">
        <f>I16*1.08</f>
        <v/>
      </c>
      <c r="K16" s="16">
        <f>J16*1.08</f>
        <v/>
      </c>
    </row>
    <row r="17">
      <c r="A17" s="13" t="inlineStr">
        <is>
          <t>Depreciation</t>
        </is>
      </c>
      <c r="B17" s="15" t="n">
        <v>126</v>
      </c>
      <c r="C17" s="15" t="n">
        <v>115</v>
      </c>
      <c r="D17" s="15" t="n">
        <v>139</v>
      </c>
      <c r="E17" s="15" t="n">
        <v>182</v>
      </c>
      <c r="F17" s="15" t="n">
        <v>234</v>
      </c>
      <c r="G17" s="16">
        <f>F17*1.05</f>
        <v/>
      </c>
      <c r="H17" s="16">
        <f>G17*1.05</f>
        <v/>
      </c>
      <c r="I17" s="16">
        <f>H17*1.05</f>
        <v/>
      </c>
      <c r="J17" s="16">
        <f>I17*1.05</f>
        <v/>
      </c>
      <c r="K17" s="16">
        <f>J17*1.05</f>
        <v/>
      </c>
    </row>
    <row r="18">
      <c r="A18" s="13" t="inlineStr">
        <is>
          <t>Other OpEx</t>
        </is>
      </c>
      <c r="G18" s="16">
        <f>F18*1.08</f>
        <v/>
      </c>
      <c r="H18" s="16">
        <f>G18*1.08</f>
        <v/>
      </c>
      <c r="I18" s="16">
        <f>H18*1.08</f>
        <v/>
      </c>
      <c r="J18" s="16">
        <f>I18*1.08</f>
        <v/>
      </c>
      <c r="K18" s="16">
        <f>J18*1.08</f>
        <v/>
      </c>
    </row>
    <row r="19">
      <c r="A19" s="17" t="inlineStr">
        <is>
          <t>Total Expenses</t>
        </is>
      </c>
      <c r="B19" s="18">
        <f>B13+B15</f>
        <v/>
      </c>
      <c r="C19" s="18">
        <f>C13+C15</f>
        <v/>
      </c>
      <c r="D19" s="18">
        <f>D13+D15</f>
        <v/>
      </c>
      <c r="E19" s="18">
        <f>E13+E15</f>
        <v/>
      </c>
      <c r="F19" s="18">
        <f>F13+F15</f>
        <v/>
      </c>
      <c r="G19" s="19">
        <f>G13+G15</f>
        <v/>
      </c>
      <c r="H19" s="19">
        <f>H13+H15</f>
        <v/>
      </c>
      <c r="I19" s="19">
        <f>I13+I15</f>
        <v/>
      </c>
      <c r="J19" s="19">
        <f>J13+J15</f>
        <v/>
      </c>
      <c r="K19" s="19">
        <f>K13+K15</f>
        <v/>
      </c>
    </row>
    <row r="21">
      <c r="A21" s="13" t="inlineStr">
        <is>
          <t>Provisions &amp; Contingencies</t>
        </is>
      </c>
      <c r="B21" s="20" t="n"/>
      <c r="C21" s="20" t="n"/>
      <c r="D21" s="20" t="n"/>
      <c r="E21" s="20" t="n"/>
      <c r="F21" s="20" t="n"/>
      <c r="G21" s="16">
        <f>F21*1.05</f>
        <v/>
      </c>
      <c r="H21" s="16">
        <f>G21*1.05</f>
        <v/>
      </c>
      <c r="I21" s="16">
        <f>H21*1.05</f>
        <v/>
      </c>
      <c r="J21" s="16">
        <f>I21*1.05</f>
        <v/>
      </c>
      <c r="K21" s="16">
        <f>J21*1.05</f>
        <v/>
      </c>
    </row>
    <row r="22">
      <c r="A22" s="13" t="inlineStr">
        <is>
          <t>Provision for NPA</t>
        </is>
      </c>
      <c r="G22" s="16">
        <f>F22*0.95</f>
        <v/>
      </c>
      <c r="H22" s="16">
        <f>G22*0.95</f>
        <v/>
      </c>
      <c r="I22" s="16">
        <f>H22*0.95</f>
        <v/>
      </c>
      <c r="J22" s="16">
        <f>I22*0.95</f>
        <v/>
      </c>
      <c r="K22" s="16">
        <f>J22*0.95</f>
        <v/>
      </c>
    </row>
    <row r="23">
      <c r="A23" s="13" t="inlineStr">
        <is>
          <t>Provision for Tax</t>
        </is>
      </c>
      <c r="G23" s="16">
        <f>F23*1.10</f>
        <v/>
      </c>
      <c r="H23" s="16">
        <f>G23*1.10</f>
        <v/>
      </c>
      <c r="I23" s="16">
        <f>H23*1.10</f>
        <v/>
      </c>
      <c r="J23" s="16">
        <f>I23*1.10</f>
        <v/>
      </c>
      <c r="K23" s="16">
        <f>J23*1.10</f>
        <v/>
      </c>
    </row>
    <row r="24">
      <c r="A24" s="13" t="inlineStr">
        <is>
          <t>Operating Profit</t>
        </is>
      </c>
      <c r="B24" s="20" t="n"/>
      <c r="C24" s="20" t="n"/>
      <c r="D24" s="20" t="n"/>
      <c r="E24" s="20" t="n"/>
      <c r="F24" s="20" t="n"/>
      <c r="G24" s="16">
        <f>G11-G19</f>
        <v/>
      </c>
      <c r="H24" s="16">
        <f>H11-H19</f>
        <v/>
      </c>
      <c r="I24" s="16">
        <f>I11-I19</f>
        <v/>
      </c>
      <c r="J24" s="16">
        <f>J11-J19</f>
        <v/>
      </c>
      <c r="K24" s="16">
        <f>K11-K19</f>
        <v/>
      </c>
    </row>
    <row r="25">
      <c r="A25" s="17" t="inlineStr">
        <is>
          <t>Profit Before Tax</t>
        </is>
      </c>
      <c r="B25" s="15" t="n">
        <v>2060</v>
      </c>
      <c r="C25" s="15" t="n">
        <v>2209</v>
      </c>
      <c r="D25" s="15" t="n">
        <v>2646</v>
      </c>
      <c r="E25" s="15" t="n">
        <v>4263</v>
      </c>
      <c r="F25" s="15" t="n">
        <v>5261</v>
      </c>
      <c r="G25" s="19">
        <f>G24-G21</f>
        <v/>
      </c>
      <c r="H25" s="19">
        <f>H24-H21</f>
        <v/>
      </c>
      <c r="I25" s="19">
        <f>I24-I21</f>
        <v/>
      </c>
      <c r="J25" s="19">
        <f>J24-J21</f>
        <v/>
      </c>
      <c r="K25" s="19">
        <f>K24-K21</f>
        <v/>
      </c>
    </row>
    <row r="26">
      <c r="A26" s="13" t="inlineStr">
        <is>
          <t>Tax</t>
        </is>
      </c>
      <c r="B26" s="15" t="n">
        <v>25</v>
      </c>
      <c r="C26" s="15" t="n">
        <v>25</v>
      </c>
      <c r="D26" s="15" t="n">
        <v>26</v>
      </c>
      <c r="E26" s="15" t="n">
        <v>26</v>
      </c>
      <c r="F26" s="15" t="n">
        <v>25</v>
      </c>
      <c r="G26" s="16">
        <f>G25*0.25</f>
        <v/>
      </c>
      <c r="H26" s="16">
        <f>H25*0.25</f>
        <v/>
      </c>
      <c r="I26" s="16">
        <f>I25*0.25</f>
        <v/>
      </c>
      <c r="J26" s="16">
        <f>J25*0.25</f>
        <v/>
      </c>
      <c r="K26" s="16">
        <f>K25*0.25</f>
        <v/>
      </c>
    </row>
    <row r="27">
      <c r="A27" s="17" t="inlineStr">
        <is>
          <t>Net Profit</t>
        </is>
      </c>
      <c r="B27" s="15" t="n">
        <v>1590</v>
      </c>
      <c r="C27" s="15" t="n">
        <v>1680</v>
      </c>
      <c r="D27" s="15" t="n">
        <v>1996</v>
      </c>
      <c r="E27" s="15" t="n">
        <v>3210</v>
      </c>
      <c r="F27" s="15" t="n">
        <v>3964</v>
      </c>
      <c r="G27" s="19">
        <f>G25-G26</f>
        <v/>
      </c>
      <c r="H27" s="19">
        <f>H25-H26</f>
        <v/>
      </c>
      <c r="I27" s="19">
        <f>I25-I26</f>
        <v/>
      </c>
      <c r="J27" s="19">
        <f>J25-J26</f>
        <v/>
      </c>
      <c r="K27" s="19">
        <f>K25-K26</f>
        <v/>
      </c>
    </row>
    <row r="28">
      <c r="A28" s="13" t="inlineStr">
        <is>
          <t>EPS (Rs.)</t>
        </is>
      </c>
      <c r="B28" s="15" t="n">
        <v>7.93</v>
      </c>
      <c r="C28" s="15" t="n">
        <v>8.34</v>
      </c>
      <c r="D28" s="15" t="n">
        <v>9.369999999999999</v>
      </c>
      <c r="E28" s="15" t="n">
        <v>14.95</v>
      </c>
      <c r="F28" s="15" t="n">
        <v>15.93</v>
      </c>
      <c r="G28" s="16">
        <f>F28*(G27/F27)</f>
        <v/>
      </c>
      <c r="H28" s="16">
        <f>G28*(H27/G27)</f>
        <v/>
      </c>
      <c r="I28" s="16">
        <f>H28*(I27/H27)</f>
        <v/>
      </c>
      <c r="J28" s="16">
        <f>I28*(J27/I27)</f>
        <v/>
      </c>
      <c r="K28" s="16">
        <f>J28*(K27/J27)</f>
        <v/>
      </c>
    </row>
    <row r="29">
      <c r="A29" s="13" t="inlineStr">
        <is>
          <t>Dividend Payout (%)</t>
        </is>
      </c>
      <c r="B29" s="15" t="n">
        <v>0</v>
      </c>
      <c r="C29" s="15" t="n">
        <v>8</v>
      </c>
      <c r="D29" s="15" t="n">
        <v>19</v>
      </c>
      <c r="E29" s="15" t="n">
        <v>7</v>
      </c>
      <c r="F29" s="15" t="n">
        <v>8</v>
      </c>
      <c r="G29" s="16">
        <f>F29</f>
        <v/>
      </c>
      <c r="H29" s="16">
        <f>G29</f>
        <v/>
      </c>
      <c r="I29" s="16">
        <f>H29</f>
        <v/>
      </c>
      <c r="J29" s="16">
        <f>I29</f>
        <v/>
      </c>
      <c r="K29" s="16">
        <f>J29</f>
        <v/>
      </c>
    </row>
    <row r="31">
      <c r="A31" s="21" t="inlineStr">
        <is>
          <t>Net Profit Growth (%)</t>
        </is>
      </c>
      <c r="C31" s="22">
        <f>IF(B27=0,0,(C27/B27-1)*100)</f>
        <v/>
      </c>
      <c r="D31" s="22">
        <f>IF(C27=0,0,(D27/C27-1)*100)</f>
        <v/>
      </c>
      <c r="E31" s="22">
        <f>IF(D27=0,0,(E27/D27-1)*100)</f>
        <v/>
      </c>
      <c r="F31" s="22">
        <f>IF(E27=0,0,(F27/E27-1)*100)</f>
        <v/>
      </c>
      <c r="G31" s="23">
        <f>IF(F27=0,0,(G27/F27-1)*100)</f>
        <v/>
      </c>
      <c r="H31" s="23">
        <f>IF(G27=0,0,(H27/G27-1)*100)</f>
        <v/>
      </c>
      <c r="I31" s="23">
        <f>IF(H27=0,0,(I27/H27-1)*100)</f>
        <v/>
      </c>
      <c r="J31" s="23">
        <f>IF(I27=0,0,(J27/I27-1)*100)</f>
        <v/>
      </c>
      <c r="K31" s="23">
        <f>IF(J27=0,0,(K27/J27-1)*100)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7" t="inlineStr">
        <is>
          <t>LIABILITIES</t>
        </is>
      </c>
      <c r="G5" s="24" t="n"/>
      <c r="H5" s="24" t="n"/>
      <c r="I5" s="24" t="n"/>
      <c r="J5" s="24" t="n"/>
      <c r="K5" s="24" t="n"/>
    </row>
    <row r="6">
      <c r="A6" s="13" t="inlineStr">
        <is>
          <t>Equity Capital</t>
        </is>
      </c>
      <c r="B6" s="15" t="n">
        <v>399</v>
      </c>
      <c r="C6" s="15" t="n">
        <v>399</v>
      </c>
      <c r="D6" s="15" t="n">
        <v>421</v>
      </c>
      <c r="E6" s="15" t="n">
        <v>423</v>
      </c>
      <c r="F6" s="15" t="n">
        <v>487</v>
      </c>
      <c r="G6" s="16">
        <f>F6</f>
        <v/>
      </c>
      <c r="H6" s="16">
        <f>G6</f>
        <v/>
      </c>
      <c r="I6" s="16">
        <f>H6</f>
        <v/>
      </c>
      <c r="J6" s="16">
        <f>I6</f>
        <v/>
      </c>
      <c r="K6" s="16">
        <f>J6</f>
        <v/>
      </c>
    </row>
    <row r="7">
      <c r="A7" s="13" t="inlineStr">
        <is>
          <t>Reserves</t>
        </is>
      </c>
      <c r="B7" s="15" t="n">
        <v>14424</v>
      </c>
      <c r="C7" s="15" t="n">
        <v>16105</v>
      </c>
      <c r="D7" s="15" t="n">
        <v>18835</v>
      </c>
      <c r="E7" s="15" t="n">
        <v>21699</v>
      </c>
      <c r="F7" s="15" t="n">
        <v>29618</v>
      </c>
      <c r="G7" s="16">
        <f>F7+'P&amp;L'!G27*0.70</f>
        <v/>
      </c>
      <c r="H7" s="16">
        <f>G7+'P&amp;L'!H27*0.70</f>
        <v/>
      </c>
      <c r="I7" s="16">
        <f>H7+'P&amp;L'!I27*0.70</f>
        <v/>
      </c>
      <c r="J7" s="16">
        <f>I7+'P&amp;L'!J27*0.70</f>
        <v/>
      </c>
      <c r="K7" s="16">
        <f>J7+'P&amp;L'!K27*0.70</f>
        <v/>
      </c>
    </row>
    <row r="8">
      <c r="A8" s="17" t="inlineStr">
        <is>
          <t>Total Equity</t>
        </is>
      </c>
      <c r="B8" s="18">
        <f>B6+B7</f>
        <v/>
      </c>
      <c r="C8" s="18">
        <f>C6+C7</f>
        <v/>
      </c>
      <c r="D8" s="18">
        <f>D6+D7</f>
        <v/>
      </c>
      <c r="E8" s="18">
        <f>E6+E7</f>
        <v/>
      </c>
      <c r="F8" s="18">
        <f>F6+F7</f>
        <v/>
      </c>
      <c r="G8" s="19">
        <f>G6+G7</f>
        <v/>
      </c>
      <c r="H8" s="19">
        <f>H6+H7</f>
        <v/>
      </c>
      <c r="I8" s="19">
        <f>I6+I7</f>
        <v/>
      </c>
      <c r="J8" s="19">
        <f>J6+J7</f>
        <v/>
      </c>
      <c r="K8" s="19">
        <f>K6+K7</f>
        <v/>
      </c>
    </row>
    <row r="10">
      <c r="A10" s="13" t="inlineStr">
        <is>
          <t>Deposits</t>
        </is>
      </c>
      <c r="B10" s="15" t="n">
        <v>152252</v>
      </c>
      <c r="C10" s="15" t="n">
        <v>172186</v>
      </c>
      <c r="D10" s="15" t="n">
        <v>181678</v>
      </c>
      <c r="E10" s="15" t="n">
        <v>212988</v>
      </c>
      <c r="F10" s="15" t="n">
        <v>252455</v>
      </c>
      <c r="G10" s="16">
        <f>F10*1.12</f>
        <v/>
      </c>
      <c r="H10" s="16">
        <f>G10*1.12</f>
        <v/>
      </c>
      <c r="I10" s="16">
        <f>H10*1.12</f>
        <v/>
      </c>
      <c r="J10" s="16">
        <f>I10*1.12</f>
        <v/>
      </c>
      <c r="K10" s="16">
        <f>J10*1.12</f>
        <v/>
      </c>
    </row>
    <row r="11">
      <c r="A11" s="13" t="inlineStr">
        <is>
          <t>CASA Deposits</t>
        </is>
      </c>
      <c r="B11" s="20" t="n"/>
      <c r="C11" s="20" t="n"/>
      <c r="D11" s="20" t="n"/>
      <c r="E11" s="20" t="n"/>
      <c r="F11" s="20" t="n"/>
      <c r="G11" s="16">
        <f>F11*1.14</f>
        <v/>
      </c>
      <c r="H11" s="16">
        <f>G11*1.14</f>
        <v/>
      </c>
      <c r="I11" s="16">
        <f>H11*1.14</f>
        <v/>
      </c>
      <c r="J11" s="16">
        <f>I11*1.14</f>
        <v/>
      </c>
      <c r="K11" s="16">
        <f>J11*1.14</f>
        <v/>
      </c>
    </row>
    <row r="12">
      <c r="A12" s="13" t="inlineStr">
        <is>
          <t>Borrowings</t>
        </is>
      </c>
      <c r="B12" s="15" t="n">
        <v>12528</v>
      </c>
      <c r="C12" s="15" t="n">
        <v>12271</v>
      </c>
      <c r="D12" s="15" t="n">
        <v>19587</v>
      </c>
      <c r="E12" s="15" t="n">
        <v>25862</v>
      </c>
      <c r="F12" s="15" t="n">
        <v>25160</v>
      </c>
      <c r="G12" s="16">
        <f>F12*1.08</f>
        <v/>
      </c>
      <c r="H12" s="16">
        <f>G12*1.08</f>
        <v/>
      </c>
      <c r="I12" s="16">
        <f>H12*1.08</f>
        <v/>
      </c>
      <c r="J12" s="16">
        <f>I12*1.08</f>
        <v/>
      </c>
      <c r="K12" s="16">
        <f>J12*1.08</f>
        <v/>
      </c>
    </row>
    <row r="13">
      <c r="A13" s="13" t="inlineStr">
        <is>
          <t>Other Liabilities</t>
        </is>
      </c>
      <c r="B13" s="15" t="n">
        <v>3751</v>
      </c>
      <c r="C13" s="15" t="n">
        <v>4006</v>
      </c>
      <c r="D13" s="15" t="n">
        <v>5721</v>
      </c>
      <c r="E13" s="15" t="n">
        <v>7031</v>
      </c>
      <c r="F13" s="15" t="n">
        <v>10119</v>
      </c>
      <c r="G13" s="16">
        <f>F13*1.10</f>
        <v/>
      </c>
      <c r="H13" s="16">
        <f>G13*1.10</f>
        <v/>
      </c>
      <c r="I13" s="16">
        <f>H13*1.10</f>
        <v/>
      </c>
      <c r="J13" s="16">
        <f>I13*1.10</f>
        <v/>
      </c>
      <c r="K13" s="16">
        <f>J13*1.10</f>
        <v/>
      </c>
    </row>
    <row r="14">
      <c r="A14" s="17" t="inlineStr">
        <is>
          <t>Total Liabilities</t>
        </is>
      </c>
      <c r="B14" s="15" t="n">
        <v>183353</v>
      </c>
      <c r="C14" s="15" t="n">
        <v>204967</v>
      </c>
      <c r="D14" s="15" t="n">
        <v>226241</v>
      </c>
      <c r="E14" s="15" t="n">
        <v>268004</v>
      </c>
      <c r="F14" s="15" t="n">
        <v>317839</v>
      </c>
      <c r="G14" s="19">
        <f>G8+G10+G12+G13</f>
        <v/>
      </c>
      <c r="H14" s="19">
        <f>H8+H10+H12+H13</f>
        <v/>
      </c>
      <c r="I14" s="19">
        <f>I8+I10+I12+I13</f>
        <v/>
      </c>
      <c r="J14" s="19">
        <f>J8+J10+J12+J13</f>
        <v/>
      </c>
      <c r="K14" s="19">
        <f>K8+K10+K12+K13</f>
        <v/>
      </c>
    </row>
    <row r="16">
      <c r="A16" s="17" t="inlineStr">
        <is>
          <t>ASSETS</t>
        </is>
      </c>
      <c r="G16" s="24" t="n"/>
      <c r="H16" s="24" t="n"/>
      <c r="I16" s="24" t="n"/>
      <c r="J16" s="24" t="n"/>
      <c r="K16" s="24" t="n"/>
    </row>
    <row r="17">
      <c r="A17" s="13" t="inlineStr">
        <is>
          <t>Cash &amp; Bank Balances</t>
        </is>
      </c>
      <c r="B17" s="20" t="n"/>
      <c r="C17" s="20" t="n"/>
      <c r="D17" s="20" t="n"/>
      <c r="E17" s="20" t="n"/>
      <c r="F17" s="20" t="n"/>
      <c r="G17" s="16">
        <f>F17*1.08</f>
        <v/>
      </c>
      <c r="H17" s="16">
        <f>G17*1.08</f>
        <v/>
      </c>
      <c r="I17" s="16">
        <f>H17*1.08</f>
        <v/>
      </c>
      <c r="J17" s="16">
        <f>I17*1.08</f>
        <v/>
      </c>
      <c r="K17" s="16">
        <f>J17*1.08</f>
        <v/>
      </c>
    </row>
    <row r="18">
      <c r="A18" s="13" t="inlineStr">
        <is>
          <t>Fixed Assets</t>
        </is>
      </c>
      <c r="B18" s="15" t="n">
        <v>477</v>
      </c>
      <c r="C18" s="15" t="n">
        <v>504</v>
      </c>
      <c r="D18" s="15" t="n">
        <v>643</v>
      </c>
      <c r="E18" s="15" t="n">
        <v>890</v>
      </c>
      <c r="F18" s="15" t="n">
        <v>996</v>
      </c>
      <c r="G18" s="16">
        <f>F18*1.05</f>
        <v/>
      </c>
      <c r="H18" s="16">
        <f>G18*1.05</f>
        <v/>
      </c>
      <c r="I18" s="16">
        <f>H18*1.05</f>
        <v/>
      </c>
      <c r="J18" s="16">
        <f>I18*1.05</f>
        <v/>
      </c>
      <c r="K18" s="16">
        <f>J18*1.05</f>
        <v/>
      </c>
    </row>
    <row r="19">
      <c r="A19" s="13" t="inlineStr">
        <is>
          <t>CWIP</t>
        </is>
      </c>
      <c r="B19" s="15" t="n">
        <v>28</v>
      </c>
      <c r="C19" s="15" t="n">
        <v>13</v>
      </c>
      <c r="D19" s="15" t="n">
        <v>29</v>
      </c>
      <c r="E19" s="15" t="n">
        <v>81</v>
      </c>
      <c r="F19" s="15" t="n">
        <v>67</v>
      </c>
      <c r="G19" s="16">
        <f>F19*1.02</f>
        <v/>
      </c>
      <c r="H19" s="16">
        <f>G19*1.02</f>
        <v/>
      </c>
      <c r="I19" s="16">
        <f>H19*1.02</f>
        <v/>
      </c>
      <c r="J19" s="16">
        <f>I19*1.02</f>
        <v/>
      </c>
      <c r="K19" s="16">
        <f>J19*1.02</f>
        <v/>
      </c>
    </row>
    <row r="20">
      <c r="A20" s="13" t="inlineStr">
        <is>
          <t>Investments</t>
        </is>
      </c>
      <c r="B20" s="15" t="n">
        <v>35715</v>
      </c>
      <c r="C20" s="15" t="n">
        <v>36732</v>
      </c>
      <c r="D20" s="15" t="n">
        <v>39065</v>
      </c>
      <c r="E20" s="15" t="n">
        <v>48702</v>
      </c>
      <c r="F20" s="15" t="n">
        <v>61043</v>
      </c>
      <c r="G20" s="16">
        <f>F20*1.10</f>
        <v/>
      </c>
      <c r="H20" s="16">
        <f>G20*1.10</f>
        <v/>
      </c>
      <c r="I20" s="16">
        <f>H20*1.10</f>
        <v/>
      </c>
      <c r="J20" s="16">
        <f>I20*1.10</f>
        <v/>
      </c>
      <c r="K20" s="16">
        <f>J20*1.10</f>
        <v/>
      </c>
    </row>
    <row r="21">
      <c r="A21" s="13" t="inlineStr">
        <is>
          <t>Advances</t>
        </is>
      </c>
      <c r="B21" s="20" t="n"/>
      <c r="C21" s="20" t="n"/>
      <c r="D21" s="20" t="n"/>
      <c r="E21" s="20" t="n"/>
      <c r="F21" s="20" t="n"/>
      <c r="G21" s="16">
        <f>F21*(1+Assumptions!$B$5/100)</f>
        <v/>
      </c>
      <c r="H21" s="16">
        <f>G21*(1+Assumptions!$C$5/100)</f>
        <v/>
      </c>
      <c r="I21" s="16">
        <f>H21*(1+Assumptions!$D$5/100)</f>
        <v/>
      </c>
      <c r="J21" s="16">
        <f>I21*(1+Assumptions!$E$5/100)</f>
        <v/>
      </c>
      <c r="K21" s="16">
        <f>J21*(1+Assumptions!$F$5/100)</f>
        <v/>
      </c>
    </row>
    <row r="22">
      <c r="A22" s="13" t="inlineStr">
        <is>
          <t>Other Assets</t>
        </is>
      </c>
      <c r="B22" s="15" t="n">
        <v>147133</v>
      </c>
      <c r="C22" s="15" t="n">
        <v>167717</v>
      </c>
      <c r="D22" s="15" t="n">
        <v>186504</v>
      </c>
      <c r="E22" s="15" t="n">
        <v>218330</v>
      </c>
      <c r="F22" s="15" t="n">
        <v>255733</v>
      </c>
      <c r="G22" s="16">
        <f>F22*1.08</f>
        <v/>
      </c>
      <c r="H22" s="16">
        <f>G22*1.08</f>
        <v/>
      </c>
      <c r="I22" s="16">
        <f>H22*1.08</f>
        <v/>
      </c>
      <c r="J22" s="16">
        <f>I22*1.08</f>
        <v/>
      </c>
      <c r="K22" s="16">
        <f>J22*1.08</f>
        <v/>
      </c>
    </row>
    <row r="23">
      <c r="A23" s="17" t="inlineStr">
        <is>
          <t>Total Assets</t>
        </is>
      </c>
      <c r="B23" s="15" t="n">
        <v>183353</v>
      </c>
      <c r="C23" s="15" t="n">
        <v>204967</v>
      </c>
      <c r="D23" s="15" t="n">
        <v>226241</v>
      </c>
      <c r="E23" s="15" t="n">
        <v>268004</v>
      </c>
      <c r="F23" s="15" t="n">
        <v>317839</v>
      </c>
      <c r="G23" s="19">
        <f>G14</f>
        <v/>
      </c>
      <c r="H23" s="19">
        <f>H14</f>
        <v/>
      </c>
      <c r="I23" s="19">
        <f>I14</f>
        <v/>
      </c>
      <c r="J23" s="19">
        <f>J14</f>
        <v/>
      </c>
      <c r="K23" s="19">
        <f>K14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25" t="inlineStr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</row>
    <row r="6">
      <c r="A6" s="25" t="inlineStr">
        <is>
          <t>PROFITABILITY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</row>
    <row r="7">
      <c r="A7" s="13" t="inlineStr">
        <is>
          <t>Net Profit (PAT)</t>
        </is>
      </c>
      <c r="B7" s="24">
        <f>'P&amp;L'!B27</f>
        <v/>
      </c>
      <c r="C7" s="24">
        <f>'P&amp;L'!C27</f>
        <v/>
      </c>
      <c r="D7" s="24">
        <f>'P&amp;L'!D27</f>
        <v/>
      </c>
      <c r="E7" s="24">
        <f>'P&amp;L'!E27</f>
        <v/>
      </c>
      <c r="F7" s="24">
        <f>'P&amp;L'!F27</f>
        <v/>
      </c>
      <c r="G7" s="27">
        <f>'P&amp;L'!G27</f>
        <v/>
      </c>
      <c r="H7" s="27">
        <f>'P&amp;L'!H27</f>
        <v/>
      </c>
      <c r="I7" s="27">
        <f>'P&amp;L'!I27</f>
        <v/>
      </c>
      <c r="J7" s="27">
        <f>'P&amp;L'!J27</f>
        <v/>
      </c>
      <c r="K7" s="27">
        <f>'P&amp;L'!K27</f>
        <v/>
      </c>
    </row>
    <row r="8">
      <c r="A8" s="13" t="inlineStr">
        <is>
          <t>Revenue</t>
        </is>
      </c>
      <c r="B8" s="24">
        <f>'P&amp;L'!B5</f>
        <v/>
      </c>
      <c r="C8" s="24">
        <f>'P&amp;L'!C5</f>
        <v/>
      </c>
      <c r="D8" s="24">
        <f>'P&amp;L'!D5</f>
        <v/>
      </c>
      <c r="E8" s="24">
        <f>'P&amp;L'!E5</f>
        <v/>
      </c>
      <c r="F8" s="24">
        <f>'P&amp;L'!F5</f>
        <v/>
      </c>
      <c r="G8" s="27">
        <f>'P&amp;L'!G5</f>
        <v/>
      </c>
      <c r="H8" s="27">
        <f>'P&amp;L'!H5</f>
        <v/>
      </c>
      <c r="I8" s="27">
        <f>'P&amp;L'!I5</f>
        <v/>
      </c>
      <c r="J8" s="27">
        <f>'P&amp;L'!J5</f>
        <v/>
      </c>
      <c r="K8" s="27">
        <f>'P&amp;L'!K5</f>
        <v/>
      </c>
    </row>
    <row r="9">
      <c r="A9" s="13" t="inlineStr">
        <is>
          <t>Net Profit Margin (%)</t>
        </is>
      </c>
      <c r="B9" s="28">
        <f>IF(B8=0,0,B7/B8*100)</f>
        <v/>
      </c>
      <c r="C9" s="28">
        <f>IF(C8=0,0,C7/C8*100)</f>
        <v/>
      </c>
      <c r="D9" s="28">
        <f>IF(D8=0,0,D7/D8*100)</f>
        <v/>
      </c>
      <c r="E9" s="28">
        <f>IF(E8=0,0,E7/E8*100)</f>
        <v/>
      </c>
      <c r="F9" s="28">
        <f>IF(F8=0,0,F7/F8*100)</f>
        <v/>
      </c>
      <c r="G9" s="29">
        <f>IF(G8=0,0,G7/G8*100)</f>
        <v/>
      </c>
      <c r="H9" s="29">
        <f>IF(H8=0,0,H7/H8*100)</f>
        <v/>
      </c>
      <c r="I9" s="29">
        <f>IF(I8=0,0,I7/I8*100)</f>
        <v/>
      </c>
      <c r="J9" s="29">
        <f>IF(J8=0,0,J7/J8*100)</f>
        <v/>
      </c>
      <c r="K9" s="29">
        <f>IF(K8=0,0,K7/K8*100)</f>
        <v/>
      </c>
    </row>
    <row r="11">
      <c r="A11" s="25" t="inlineStr">
        <is>
          <t>EFFICIENCY</t>
        </is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</row>
    <row r="12">
      <c r="A12" s="13" t="inlineStr">
        <is>
          <t>Revenue</t>
        </is>
      </c>
      <c r="B12" s="24">
        <f>'P&amp;L'!B5</f>
        <v/>
      </c>
      <c r="C12" s="24">
        <f>'P&amp;L'!C5</f>
        <v/>
      </c>
      <c r="D12" s="24">
        <f>'P&amp;L'!D5</f>
        <v/>
      </c>
      <c r="E12" s="24">
        <f>'P&amp;L'!E5</f>
        <v/>
      </c>
      <c r="F12" s="24">
        <f>'P&amp;L'!F5</f>
        <v/>
      </c>
      <c r="G12" s="27">
        <f>'P&amp;L'!G5</f>
        <v/>
      </c>
      <c r="H12" s="27">
        <f>'P&amp;L'!H5</f>
        <v/>
      </c>
      <c r="I12" s="27">
        <f>'P&amp;L'!I5</f>
        <v/>
      </c>
      <c r="J12" s="27">
        <f>'P&amp;L'!J5</f>
        <v/>
      </c>
      <c r="K12" s="27">
        <f>'P&amp;L'!K5</f>
        <v/>
      </c>
    </row>
    <row r="13">
      <c r="A13" s="13" t="inlineStr">
        <is>
          <t>Average Total Assets</t>
        </is>
      </c>
      <c r="B13" s="24">
        <f>'Balance Sheet'!B23</f>
        <v/>
      </c>
      <c r="C13" s="24">
        <f>('Balance Sheet'!C23+'Balance Sheet'!B23)/2</f>
        <v/>
      </c>
      <c r="D13" s="24">
        <f>('Balance Sheet'!D23+'Balance Sheet'!C23)/2</f>
        <v/>
      </c>
      <c r="E13" s="24">
        <f>('Balance Sheet'!E23+'Balance Sheet'!D23)/2</f>
        <v/>
      </c>
      <c r="F13" s="24">
        <f>('Balance Sheet'!F23+'Balance Sheet'!E23)/2</f>
        <v/>
      </c>
      <c r="G13" s="27">
        <f>('Balance Sheet'!G23+'Balance Sheet'!F23)/2</f>
        <v/>
      </c>
      <c r="H13" s="27">
        <f>('Balance Sheet'!H23+'Balance Sheet'!G23)/2</f>
        <v/>
      </c>
      <c r="I13" s="27">
        <f>('Balance Sheet'!I23+'Balance Sheet'!H23)/2</f>
        <v/>
      </c>
      <c r="J13" s="27">
        <f>('Balance Sheet'!J23+'Balance Sheet'!I23)/2</f>
        <v/>
      </c>
      <c r="K13" s="27">
        <f>('Balance Sheet'!K23+'Balance Sheet'!J23)/2</f>
        <v/>
      </c>
    </row>
    <row r="14">
      <c r="A14" s="13" t="inlineStr">
        <is>
          <t>Asset Turnover (x)</t>
        </is>
      </c>
      <c r="B14" s="28">
        <f>IF(B13=0,0,B12/B13)</f>
        <v/>
      </c>
      <c r="C14" s="28">
        <f>IF(C13=0,0,C12/C13)</f>
        <v/>
      </c>
      <c r="D14" s="28">
        <f>IF(D13=0,0,D12/D13)</f>
        <v/>
      </c>
      <c r="E14" s="28">
        <f>IF(E13=0,0,E12/E13)</f>
        <v/>
      </c>
      <c r="F14" s="28">
        <f>IF(F13=0,0,F12/F13)</f>
        <v/>
      </c>
      <c r="G14" s="29">
        <f>IF(G13=0,0,G12/G13)</f>
        <v/>
      </c>
      <c r="H14" s="29">
        <f>IF(H13=0,0,H12/H13)</f>
        <v/>
      </c>
      <c r="I14" s="29">
        <f>IF(I13=0,0,I12/I13)</f>
        <v/>
      </c>
      <c r="J14" s="29">
        <f>IF(J13=0,0,J12/J13)</f>
        <v/>
      </c>
      <c r="K14" s="29">
        <f>IF(K13=0,0,K12/K13)</f>
        <v/>
      </c>
    </row>
    <row r="16">
      <c r="A16" s="25" t="inlineStr">
        <is>
          <t>LEVERAGE</t>
        </is>
      </c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</row>
    <row r="17">
      <c r="A17" s="13" t="inlineStr">
        <is>
          <t>Average Total Assets</t>
        </is>
      </c>
      <c r="B17" s="24">
        <f>'Balance Sheet'!B23</f>
        <v/>
      </c>
      <c r="C17" s="24">
        <f>('Balance Sheet'!C23+'Balance Sheet'!B23)/2</f>
        <v/>
      </c>
      <c r="D17" s="24">
        <f>('Balance Sheet'!D23+'Balance Sheet'!C23)/2</f>
        <v/>
      </c>
      <c r="E17" s="24">
        <f>('Balance Sheet'!E23+'Balance Sheet'!D23)/2</f>
        <v/>
      </c>
      <c r="F17" s="24">
        <f>('Balance Sheet'!F23+'Balance Sheet'!E23)/2</f>
        <v/>
      </c>
      <c r="G17" s="27">
        <f>('Balance Sheet'!G23+'Balance Sheet'!F23)/2</f>
        <v/>
      </c>
      <c r="H17" s="27">
        <f>('Balance Sheet'!H23+'Balance Sheet'!G23)/2</f>
        <v/>
      </c>
      <c r="I17" s="27">
        <f>('Balance Sheet'!I23+'Balance Sheet'!H23)/2</f>
        <v/>
      </c>
      <c r="J17" s="27">
        <f>('Balance Sheet'!J23+'Balance Sheet'!I23)/2</f>
        <v/>
      </c>
      <c r="K17" s="27">
        <f>('Balance Sheet'!K23+'Balance Sheet'!J23)/2</f>
        <v/>
      </c>
    </row>
    <row r="18">
      <c r="A18" s="13" t="inlineStr">
        <is>
          <t>Average Equity</t>
        </is>
      </c>
      <c r="B18" s="24">
        <f>'Balance Sheet'!B8</f>
        <v/>
      </c>
      <c r="C18" s="24">
        <f>('Balance Sheet'!C8+'Balance Sheet'!B8)/2</f>
        <v/>
      </c>
      <c r="D18" s="24">
        <f>('Balance Sheet'!D8+'Balance Sheet'!C8)/2</f>
        <v/>
      </c>
      <c r="E18" s="24">
        <f>('Balance Sheet'!E8+'Balance Sheet'!D8)/2</f>
        <v/>
      </c>
      <c r="F18" s="24">
        <f>('Balance Sheet'!F8+'Balance Sheet'!E8)/2</f>
        <v/>
      </c>
      <c r="G18" s="27">
        <f>('Balance Sheet'!G8+'Balance Sheet'!F8)/2</f>
        <v/>
      </c>
      <c r="H18" s="27">
        <f>('Balance Sheet'!H8+'Balance Sheet'!G8)/2</f>
        <v/>
      </c>
      <c r="I18" s="27">
        <f>('Balance Sheet'!I8+'Balance Sheet'!H8)/2</f>
        <v/>
      </c>
      <c r="J18" s="27">
        <f>('Balance Sheet'!J8+'Balance Sheet'!I8)/2</f>
        <v/>
      </c>
      <c r="K18" s="27">
        <f>('Balance Sheet'!K8+'Balance Sheet'!J8)/2</f>
        <v/>
      </c>
    </row>
    <row r="19">
      <c r="A19" s="13" t="inlineStr">
        <is>
          <t>Equity Multiplier (x)</t>
        </is>
      </c>
      <c r="B19" s="28">
        <f>IF(B18=0,0,B17/B18)</f>
        <v/>
      </c>
      <c r="C19" s="28">
        <f>IF(C18=0,0,C17/C18)</f>
        <v/>
      </c>
      <c r="D19" s="28">
        <f>IF(D18=0,0,D17/D18)</f>
        <v/>
      </c>
      <c r="E19" s="28">
        <f>IF(E18=0,0,E17/E18)</f>
        <v/>
      </c>
      <c r="F19" s="28">
        <f>IF(F18=0,0,F17/F18)</f>
        <v/>
      </c>
      <c r="G19" s="29">
        <f>IF(G18=0,0,G17/G18)</f>
        <v/>
      </c>
      <c r="H19" s="29">
        <f>IF(H18=0,0,H17/H18)</f>
        <v/>
      </c>
      <c r="I19" s="29">
        <f>IF(I18=0,0,I17/I18)</f>
        <v/>
      </c>
      <c r="J19" s="29">
        <f>IF(J18=0,0,J17/J18)</f>
        <v/>
      </c>
      <c r="K19" s="29">
        <f>IF(K18=0,0,K17/K18)</f>
        <v/>
      </c>
    </row>
    <row r="21">
      <c r="A21" s="25" t="inlineStr">
        <is>
          <t>ROE CALCULATION</t>
        </is>
      </c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</row>
    <row r="22">
      <c r="A22" s="13" t="inlineStr">
        <is>
          <t>ROE (%)</t>
        </is>
      </c>
      <c r="B22" s="30">
        <f>IF(B18=0,0,B7/B18*100)</f>
        <v/>
      </c>
      <c r="C22" s="30">
        <f>IF(C18=0,0,C7/C18*100)</f>
        <v/>
      </c>
      <c r="D22" s="30">
        <f>IF(D18=0,0,D7/D18*100)</f>
        <v/>
      </c>
      <c r="E22" s="30">
        <f>IF(E18=0,0,E7/E18*100)</f>
        <v/>
      </c>
      <c r="F22" s="30">
        <f>IF(F18=0,0,F7/F18*100)</f>
        <v/>
      </c>
      <c r="G22" s="31">
        <f>IF(G18=0,0,G7/G18*100)</f>
        <v/>
      </c>
      <c r="H22" s="31">
        <f>IF(H18=0,0,H7/H18*100)</f>
        <v/>
      </c>
      <c r="I22" s="31">
        <f>IF(I18=0,0,I7/I18*100)</f>
        <v/>
      </c>
      <c r="J22" s="31">
        <f>IF(J18=0,0,J7/J18*100)</f>
        <v/>
      </c>
      <c r="K22" s="31">
        <f>IF(K18=0,0,K7/K18*100)</f>
        <v/>
      </c>
    </row>
    <row r="23">
      <c r="A23" s="13" t="inlineStr">
        <is>
          <t>ROE Check: NPM x AT x EM (%)</t>
        </is>
      </c>
      <c r="B23" s="32">
        <f>B9/100*B14*B19*100</f>
        <v/>
      </c>
      <c r="C23" s="32">
        <f>C9/100*C14*C19*100</f>
        <v/>
      </c>
      <c r="D23" s="32">
        <f>D9/100*D14*D19*100</f>
        <v/>
      </c>
      <c r="E23" s="32">
        <f>E9/100*E14*E19*100</f>
        <v/>
      </c>
      <c r="F23" s="32">
        <f>F9/100*F14*F19*100</f>
        <v/>
      </c>
      <c r="G23" s="33">
        <f>G9/100*G14*G19*100</f>
        <v/>
      </c>
      <c r="H23" s="33">
        <f>H9/100*H14*H19*100</f>
        <v/>
      </c>
      <c r="I23" s="33">
        <f>I9/100*I14*I19*100</f>
        <v/>
      </c>
      <c r="J23" s="33">
        <f>J9/100*J14*J19*100</f>
        <v/>
      </c>
      <c r="K23" s="33">
        <f>K9/100*K14*K19*100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0" t="inlineStr">
        <is>
          <t>QUARTERLY RESULTS</t>
        </is>
      </c>
    </row>
    <row r="3">
      <c r="A3" s="12" t="inlineStr">
        <is>
          <t>Line Item</t>
        </is>
      </c>
      <c r="B3" s="12" t="inlineStr">
        <is>
          <t>Dec 2023</t>
        </is>
      </c>
      <c r="C3" s="12" t="inlineStr">
        <is>
          <t>Dec 2024</t>
        </is>
      </c>
      <c r="D3" s="12" t="inlineStr">
        <is>
          <t>Dec 2025</t>
        </is>
      </c>
      <c r="E3" s="12" t="inlineStr">
        <is>
          <t>Jun 2023</t>
        </is>
      </c>
      <c r="F3" s="12" t="inlineStr">
        <is>
          <t>Jun 2024</t>
        </is>
      </c>
      <c r="G3" s="12" t="inlineStr">
        <is>
          <t>Jun 2025</t>
        </is>
      </c>
      <c r="H3" s="12" t="inlineStr">
        <is>
          <t>Mar 2023</t>
        </is>
      </c>
      <c r="I3" s="12" t="inlineStr">
        <is>
          <t>Mar 2024</t>
        </is>
      </c>
      <c r="J3" s="12" t="inlineStr">
        <is>
          <t>Mar 2025</t>
        </is>
      </c>
      <c r="K3" s="12" t="inlineStr">
        <is>
          <t>Sep 2023</t>
        </is>
      </c>
      <c r="L3" s="12" t="inlineStr">
        <is>
          <t>Sep 2024</t>
        </is>
      </c>
      <c r="M3" s="12" t="inlineStr">
        <is>
          <t>Sep 2025</t>
        </is>
      </c>
    </row>
    <row r="4">
      <c r="A4" s="13" t="inlineStr">
        <is>
          <t>Revenue +</t>
        </is>
      </c>
      <c r="B4" s="15" t="n">
        <v>5791</v>
      </c>
      <c r="C4" s="15" t="n">
        <v>7006</v>
      </c>
      <c r="D4" s="15" t="n">
        <v>7216</v>
      </c>
      <c r="E4" s="15" t="n">
        <v>5012</v>
      </c>
      <c r="F4" s="15" t="n">
        <v>6339</v>
      </c>
      <c r="G4" s="15" t="n">
        <v>7108</v>
      </c>
      <c r="H4" s="15" t="n">
        <v>4698</v>
      </c>
      <c r="I4" s="15" t="n">
        <v>6085</v>
      </c>
      <c r="J4" s="15" t="n">
        <v>7265</v>
      </c>
      <c r="K4" s="15" t="n">
        <v>5350</v>
      </c>
      <c r="L4" s="15" t="n">
        <v>6728</v>
      </c>
      <c r="M4" s="15" t="n">
        <v>7151</v>
      </c>
    </row>
    <row r="5">
      <c r="A5" s="13" t="inlineStr">
        <is>
          <t>Interest</t>
        </is>
      </c>
      <c r="B5" s="15" t="n">
        <v>3544</v>
      </c>
      <c r="C5" s="15" t="n">
        <v>4393</v>
      </c>
      <c r="D5" s="15" t="n">
        <v>4429</v>
      </c>
      <c r="E5" s="15" t="n">
        <v>2938</v>
      </c>
      <c r="F5" s="15" t="n">
        <v>3936</v>
      </c>
      <c r="G5" s="15" t="n">
        <v>4456</v>
      </c>
      <c r="H5" s="15" t="n">
        <v>2585</v>
      </c>
      <c r="I5" s="15" t="n">
        <v>3760</v>
      </c>
      <c r="J5" s="15" t="n">
        <v>4570</v>
      </c>
      <c r="K5" s="15" t="n">
        <v>3255</v>
      </c>
      <c r="L5" s="15" t="n">
        <v>4212</v>
      </c>
      <c r="M5" s="15" t="n">
        <v>4540</v>
      </c>
    </row>
    <row r="6">
      <c r="A6" s="13" t="inlineStr">
        <is>
          <t>Expenses +</t>
        </is>
      </c>
      <c r="B6" s="15" t="n">
        <v>1661</v>
      </c>
      <c r="C6" s="15" t="n">
        <v>2149</v>
      </c>
      <c r="D6" s="15" t="n">
        <v>2519</v>
      </c>
      <c r="E6" s="15" t="n">
        <v>1574</v>
      </c>
      <c r="F6" s="15" t="n">
        <v>1917</v>
      </c>
      <c r="G6" s="15" t="n">
        <v>2265</v>
      </c>
      <c r="H6" s="15" t="n">
        <v>1544</v>
      </c>
      <c r="I6" s="15" t="n">
        <v>1814</v>
      </c>
      <c r="J6" s="15" t="n">
        <v>2349</v>
      </c>
      <c r="K6" s="15" t="n">
        <v>1634</v>
      </c>
      <c r="L6" s="15" t="n">
        <v>2048</v>
      </c>
      <c r="M6" s="15" t="n">
        <v>2506</v>
      </c>
    </row>
    <row r="7">
      <c r="A7" s="13" t="inlineStr">
        <is>
          <t>Financing Profit</t>
        </is>
      </c>
      <c r="B7" s="15" t="n">
        <v>586</v>
      </c>
      <c r="C7" s="15" t="n">
        <v>463</v>
      </c>
      <c r="D7" s="15" t="n">
        <v>267</v>
      </c>
      <c r="E7" s="15" t="n">
        <v>500</v>
      </c>
      <c r="F7" s="15" t="n">
        <v>486</v>
      </c>
      <c r="G7" s="15" t="n">
        <v>386</v>
      </c>
      <c r="H7" s="15" t="n">
        <v>569</v>
      </c>
      <c r="I7" s="15" t="n">
        <v>511</v>
      </c>
      <c r="J7" s="15" t="n">
        <v>346</v>
      </c>
      <c r="K7" s="15" t="n">
        <v>461</v>
      </c>
      <c r="L7" s="15" t="n">
        <v>468</v>
      </c>
      <c r="M7" s="15" t="n">
        <v>105</v>
      </c>
    </row>
    <row r="8">
      <c r="A8" s="13" t="inlineStr">
        <is>
          <t>Financing Margin %</t>
        </is>
      </c>
      <c r="B8" s="15" t="n">
        <v>10</v>
      </c>
      <c r="C8" s="15" t="n">
        <v>7</v>
      </c>
      <c r="D8" s="15" t="n">
        <v>4</v>
      </c>
      <c r="E8" s="15" t="n">
        <v>10</v>
      </c>
      <c r="F8" s="15" t="n">
        <v>8</v>
      </c>
      <c r="G8" s="15" t="n">
        <v>5</v>
      </c>
      <c r="H8" s="15" t="n">
        <v>12</v>
      </c>
      <c r="I8" s="15" t="n">
        <v>8</v>
      </c>
      <c r="J8" s="15" t="n">
        <v>5</v>
      </c>
      <c r="K8" s="15" t="n">
        <v>9</v>
      </c>
      <c r="L8" s="15" t="n">
        <v>7</v>
      </c>
      <c r="M8" s="15" t="n">
        <v>1</v>
      </c>
    </row>
    <row r="9">
      <c r="A9" s="13" t="inlineStr">
        <is>
          <t>Other Income +</t>
        </is>
      </c>
      <c r="B9" s="15" t="n">
        <v>757</v>
      </c>
      <c r="C9" s="15" t="n">
        <v>1010</v>
      </c>
      <c r="D9" s="15" t="n">
        <v>1105</v>
      </c>
      <c r="E9" s="15" t="n">
        <v>768</v>
      </c>
      <c r="F9" s="15" t="n">
        <v>810</v>
      </c>
      <c r="G9" s="15" t="n">
        <v>1047</v>
      </c>
      <c r="H9" s="15" t="n">
        <v>565</v>
      </c>
      <c r="I9" s="15" t="n">
        <v>908</v>
      </c>
      <c r="J9" s="15" t="n">
        <v>931</v>
      </c>
      <c r="K9" s="15" t="n">
        <v>741</v>
      </c>
      <c r="L9" s="15" t="n">
        <v>936</v>
      </c>
      <c r="M9" s="15" t="n">
        <v>1164</v>
      </c>
    </row>
    <row r="10">
      <c r="A10" s="13" t="inlineStr">
        <is>
          <t>Depreciation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</row>
    <row r="11">
      <c r="A11" s="13" t="inlineStr">
        <is>
          <t>Profit before tax</t>
        </is>
      </c>
      <c r="B11" s="15" t="n">
        <v>1343</v>
      </c>
      <c r="C11" s="15" t="n">
        <v>1473</v>
      </c>
      <c r="D11" s="15" t="n">
        <v>1373</v>
      </c>
      <c r="E11" s="15" t="n">
        <v>1269</v>
      </c>
      <c r="F11" s="15" t="n">
        <v>1296</v>
      </c>
      <c r="G11" s="15" t="n">
        <v>1434</v>
      </c>
      <c r="H11" s="15" t="n">
        <v>1134</v>
      </c>
      <c r="I11" s="15" t="n">
        <v>1420</v>
      </c>
      <c r="J11" s="15" t="n">
        <v>1277</v>
      </c>
      <c r="K11" s="15" t="n">
        <v>1202</v>
      </c>
      <c r="L11" s="15" t="n">
        <v>1404</v>
      </c>
      <c r="M11" s="15" t="n">
        <v>1270</v>
      </c>
    </row>
    <row r="12">
      <c r="A12" s="13" t="inlineStr">
        <is>
          <t>Tax %</t>
        </is>
      </c>
      <c r="B12" s="15" t="n">
        <v>26</v>
      </c>
      <c r="C12" s="15" t="n">
        <v>25</v>
      </c>
      <c r="D12" s="15" t="n">
        <v>26</v>
      </c>
      <c r="E12" s="15" t="n">
        <v>26</v>
      </c>
      <c r="F12" s="15" t="n">
        <v>25</v>
      </c>
      <c r="G12" s="15" t="n">
        <v>23</v>
      </c>
      <c r="H12" s="15" t="n">
        <v>25</v>
      </c>
      <c r="I12" s="15" t="n">
        <v>25</v>
      </c>
      <c r="J12" s="15" t="n">
        <v>26</v>
      </c>
      <c r="K12" s="15" t="n">
        <v>26</v>
      </c>
      <c r="L12" s="15" t="n">
        <v>26</v>
      </c>
      <c r="M12" s="15" t="n">
        <v>25</v>
      </c>
    </row>
    <row r="13">
      <c r="A13" s="13" t="inlineStr">
        <is>
          <t>Net Profit +</t>
        </is>
      </c>
      <c r="B13" s="15" t="n">
        <v>1007</v>
      </c>
      <c r="C13" s="15" t="n">
        <v>1115</v>
      </c>
      <c r="D13" s="15" t="n">
        <v>1023</v>
      </c>
      <c r="E13" s="15" t="n">
        <v>964</v>
      </c>
      <c r="F13" s="15" t="n">
        <v>996</v>
      </c>
      <c r="G13" s="15" t="n">
        <v>1120</v>
      </c>
      <c r="H13" s="15" t="n">
        <v>856</v>
      </c>
      <c r="I13" s="15" t="n">
        <v>1067</v>
      </c>
      <c r="J13" s="15" t="n">
        <v>951</v>
      </c>
      <c r="K13" s="15" t="n">
        <v>894</v>
      </c>
      <c r="L13" s="15" t="n">
        <v>1047</v>
      </c>
      <c r="M13" s="15" t="n">
        <v>951</v>
      </c>
    </row>
    <row r="14">
      <c r="A14" s="13" t="inlineStr">
        <is>
          <t>EPS in Rs</t>
        </is>
      </c>
      <c r="B14" s="15" t="n">
        <v>4.23</v>
      </c>
      <c r="C14" s="15" t="n">
        <v>4.47</v>
      </c>
      <c r="D14" s="15" t="n">
        <v>4.03</v>
      </c>
      <c r="E14" s="15" t="n">
        <v>4.51</v>
      </c>
      <c r="F14" s="15" t="n">
        <v>3.99</v>
      </c>
      <c r="G14" s="15" t="n">
        <v>4.44</v>
      </c>
      <c r="H14" s="15" t="n">
        <v>3.99</v>
      </c>
      <c r="I14" s="15" t="n">
        <v>4.26</v>
      </c>
      <c r="J14" s="15" t="n">
        <v>3.85</v>
      </c>
      <c r="K14" s="15" t="n">
        <v>4.16</v>
      </c>
      <c r="L14" s="15" t="n">
        <v>4.2</v>
      </c>
      <c r="M14" s="15" t="n">
        <v>3.74</v>
      </c>
    </row>
    <row r="15">
      <c r="A15" s="13" t="inlineStr">
        <is>
          <t>Gross NPA %</t>
        </is>
      </c>
      <c r="B15" s="15" t="n">
        <v>2.27</v>
      </c>
      <c r="C15" s="20" t="n"/>
      <c r="D15" s="20" t="n"/>
      <c r="E15" s="15" t="n">
        <v>2.35</v>
      </c>
      <c r="F15" s="15" t="n">
        <v>2.11</v>
      </c>
      <c r="G15" s="20" t="n"/>
      <c r="H15" s="15" t="n">
        <v>2.42</v>
      </c>
      <c r="I15" s="15" t="n">
        <v>2.28</v>
      </c>
      <c r="J15" s="20" t="n"/>
      <c r="K15" s="15" t="n">
        <v>2.37</v>
      </c>
      <c r="L15" s="20" t="n"/>
      <c r="M15" s="20" t="n"/>
    </row>
    <row r="16">
      <c r="A16" s="13" t="inlineStr">
        <is>
          <t>Net NPA %</t>
        </is>
      </c>
      <c r="B16" s="15" t="n">
        <v>0.68</v>
      </c>
      <c r="C16" s="20" t="n"/>
      <c r="D16" s="20" t="n"/>
      <c r="E16" s="15" t="n">
        <v>0.73</v>
      </c>
      <c r="F16" s="15" t="n">
        <v>0.63</v>
      </c>
      <c r="G16" s="20" t="n"/>
      <c r="H16" s="15" t="n">
        <v>0.77</v>
      </c>
      <c r="I16" s="15" t="n">
        <v>0.68</v>
      </c>
      <c r="J16" s="20" t="n"/>
      <c r="K16" s="15" t="n">
        <v>0.74</v>
      </c>
      <c r="L16" s="20" t="n"/>
      <c r="M16" s="2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2016</t>
        </is>
      </c>
      <c r="C3" s="12" t="inlineStr">
        <is>
          <t>Mar 2017</t>
        </is>
      </c>
      <c r="D3" s="12" t="inlineStr">
        <is>
          <t>Mar 2018</t>
        </is>
      </c>
      <c r="E3" s="12" t="inlineStr">
        <is>
          <t>Mar 2019</t>
        </is>
      </c>
      <c r="F3" s="12" t="inlineStr">
        <is>
          <t>Mar 2020</t>
        </is>
      </c>
      <c r="G3" s="12" t="inlineStr">
        <is>
          <t>Mar 2021</t>
        </is>
      </c>
      <c r="H3" s="12" t="inlineStr">
        <is>
          <t>Mar 2022</t>
        </is>
      </c>
      <c r="I3" s="12" t="inlineStr">
        <is>
          <t>Mar 2023</t>
        </is>
      </c>
      <c r="J3" s="12" t="inlineStr">
        <is>
          <t>Mar 2024</t>
        </is>
      </c>
      <c r="K3" s="12" t="inlineStr">
        <is>
          <t>Mar 2025</t>
        </is>
      </c>
    </row>
    <row r="4">
      <c r="A4" s="13" t="inlineStr">
        <is>
          <t>ROE %</t>
        </is>
      </c>
      <c r="B4" s="34" t="n">
        <v>15</v>
      </c>
      <c r="C4" s="34" t="n">
        <v>6</v>
      </c>
      <c r="D4" s="34" t="n">
        <v>10</v>
      </c>
      <c r="E4" s="34" t="n">
        <v>9</v>
      </c>
      <c r="F4" s="34" t="n">
        <v>10</v>
      </c>
      <c r="G4" s="34" t="n">
        <v>11</v>
      </c>
      <c r="H4" s="34" t="n">
        <v>11</v>
      </c>
      <c r="I4" s="34" t="n">
        <v>11</v>
      </c>
      <c r="J4" s="34" t="n">
        <v>15</v>
      </c>
      <c r="K4" s="34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5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5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6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7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5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8" t="n">
        <v>243.12</v>
      </c>
      <c r="C12" s="13" t="n"/>
    </row>
    <row r="13">
      <c r="A13" s="13" t="n"/>
      <c r="B13" s="13" t="n"/>
      <c r="C13" s="13" t="n"/>
    </row>
    <row r="14">
      <c r="A14" s="39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40">
        <f>'P&amp;L'!G27</f>
        <v/>
      </c>
      <c r="C17" s="40">
        <f>'P&amp;L'!H27</f>
        <v/>
      </c>
      <c r="D17" s="41">
        <f>'P&amp;L'!I27</f>
        <v/>
      </c>
      <c r="E17" s="41">
        <f>'P&amp;L'!J27</f>
        <v/>
      </c>
      <c r="F17" s="41">
        <f>'P&amp;L'!K27</f>
        <v/>
      </c>
    </row>
    <row r="18">
      <c r="A18" s="13" t="inlineStr">
        <is>
          <t>Shareholders' Equity (Rs. Cr)</t>
        </is>
      </c>
      <c r="B18" s="40">
        <f>'Balance Sheet'!G8</f>
        <v/>
      </c>
      <c r="C18" s="40">
        <f>'Balance Sheet'!H8</f>
        <v/>
      </c>
      <c r="D18" s="41">
        <f>'Balance Sheet'!I8</f>
        <v/>
      </c>
      <c r="E18" s="41">
        <f>'Balance Sheet'!J8</f>
        <v/>
      </c>
      <c r="F18" s="41">
        <f>'Balance Sheet'!K8</f>
        <v/>
      </c>
    </row>
    <row r="19">
      <c r="A19" s="13" t="inlineStr">
        <is>
          <t>Opening Equity (Rs. Cr)</t>
        </is>
      </c>
      <c r="B19" s="40">
        <f>'Balance Sheet'!F8</f>
        <v/>
      </c>
      <c r="C19" s="40">
        <f>B18</f>
        <v/>
      </c>
      <c r="D19" s="41">
        <f>C18</f>
        <v/>
      </c>
      <c r="E19" s="41">
        <f>D18</f>
        <v/>
      </c>
      <c r="F19" s="41">
        <f>E18</f>
        <v/>
      </c>
    </row>
    <row r="20">
      <c r="A20" s="13" t="inlineStr">
        <is>
          <t>Average Equity (Rs. Cr)</t>
        </is>
      </c>
      <c r="B20" s="40">
        <f>(B18+B19)/2</f>
        <v/>
      </c>
      <c r="C20" s="40">
        <f>(C18+C19)/2</f>
        <v/>
      </c>
      <c r="D20" s="41">
        <f>(D18+D19)/2</f>
        <v/>
      </c>
      <c r="E20" s="41">
        <f>(E18+E19)/2</f>
        <v/>
      </c>
      <c r="F20" s="41">
        <f>(F18+F19)/2</f>
        <v/>
      </c>
    </row>
    <row r="21">
      <c r="A21" s="17" t="inlineStr">
        <is>
          <t>ROE (%)</t>
        </is>
      </c>
      <c r="B21" s="42">
        <f>IF(B20=0,0,B17/B20)</f>
        <v/>
      </c>
      <c r="C21" s="42">
        <f>IF(C20=0,0,C17/C20)</f>
        <v/>
      </c>
      <c r="D21" s="43">
        <f>IF(D20=0,0,D17/D20)</f>
        <v/>
      </c>
      <c r="E21" s="43">
        <f>IF(E20=0,0,E17/E20)</f>
        <v/>
      </c>
      <c r="F21" s="43">
        <f>IF(F20=0,0,F17/F20)</f>
        <v/>
      </c>
    </row>
    <row r="22">
      <c r="A22" s="13" t="n"/>
      <c r="B22" s="13" t="n"/>
      <c r="C22" s="13" t="n"/>
    </row>
    <row r="23">
      <c r="A23" s="39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40">
        <f>B19*$B$10</f>
        <v/>
      </c>
      <c r="C26" s="40">
        <f>C19*$B$10</f>
        <v/>
      </c>
      <c r="D26" s="41">
        <f>D19*$B$10</f>
        <v/>
      </c>
      <c r="E26" s="41">
        <f>E19*$B$10</f>
        <v/>
      </c>
      <c r="F26" s="41">
        <f>F19*$B$10</f>
        <v/>
      </c>
    </row>
    <row r="27">
      <c r="A27" s="17" t="inlineStr">
        <is>
          <t>Residual Income (Rs. Cr)</t>
        </is>
      </c>
      <c r="B27" s="44">
        <f>B17-B26</f>
        <v/>
      </c>
      <c r="C27" s="44">
        <f>C17-C26</f>
        <v/>
      </c>
      <c r="D27" s="45">
        <f>D17-D26</f>
        <v/>
      </c>
      <c r="E27" s="45">
        <f>E17-E26</f>
        <v/>
      </c>
      <c r="F27" s="45">
        <f>F17-F26</f>
        <v/>
      </c>
    </row>
    <row r="28">
      <c r="A28" s="13" t="inlineStr">
        <is>
          <t>Discount Factor</t>
        </is>
      </c>
      <c r="B28" s="46">
        <f>1/(1+$B$10)^1</f>
        <v/>
      </c>
      <c r="C28" s="46">
        <f>1/(1+$B$10)^2</f>
        <v/>
      </c>
      <c r="D28" s="47">
        <f>1/(1+$B$10)^3</f>
        <v/>
      </c>
      <c r="E28" s="47">
        <f>1/(1+$B$10)^4</f>
        <v/>
      </c>
      <c r="F28" s="47">
        <f>1/(1+$B$10)^5</f>
        <v/>
      </c>
    </row>
    <row r="29">
      <c r="A29" s="13" t="inlineStr">
        <is>
          <t>PV of Residual Income (Rs. Cr)</t>
        </is>
      </c>
      <c r="B29" s="40">
        <f>B27*B28</f>
        <v/>
      </c>
      <c r="C29" s="40">
        <f>C27*C28</f>
        <v/>
      </c>
      <c r="D29" s="41">
        <f>D27*D28</f>
        <v/>
      </c>
      <c r="E29" s="41">
        <f>E27*E28</f>
        <v/>
      </c>
      <c r="F29" s="41">
        <f>F27*F28</f>
        <v/>
      </c>
    </row>
    <row r="30">
      <c r="A30" s="13" t="n"/>
      <c r="B30" s="13" t="n"/>
      <c r="C30" s="13" t="n"/>
    </row>
    <row r="31">
      <c r="A31" s="39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8">
        <f>'Balance Sheet'!F8</f>
        <v/>
      </c>
      <c r="C33" s="13" t="n"/>
    </row>
    <row r="34">
      <c r="A34" s="13" t="inlineStr">
        <is>
          <t>Sum of PV of RI (Rs. Cr)</t>
        </is>
      </c>
      <c r="B34" s="48">
        <f>B29+C29+D29+E29+F29</f>
        <v/>
      </c>
      <c r="C34" s="13" t="n"/>
    </row>
    <row r="35">
      <c r="A35" s="13" t="inlineStr">
        <is>
          <t>Terminal Value (Rs. Cr)</t>
        </is>
      </c>
      <c r="B35" s="48">
        <f>F27*(1+$B$11)/($B$10-$B$11)*F28</f>
        <v/>
      </c>
      <c r="C35" s="13" t="n"/>
    </row>
    <row r="36">
      <c r="A36" s="17" t="inlineStr">
        <is>
          <t>Total Equity Value (Rs. Cr)</t>
        </is>
      </c>
      <c r="B36" s="49">
        <f>B33+B34+B35</f>
        <v/>
      </c>
      <c r="C36" s="13" t="n"/>
    </row>
    <row r="37">
      <c r="A37" s="13" t="n"/>
      <c r="B37" s="13" t="n"/>
      <c r="C37" s="13" t="n"/>
    </row>
    <row r="38">
      <c r="A38" s="39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50" t="inlineStr">
        <is>
          <t>Fair Value per Share (Rs.)</t>
        </is>
      </c>
      <c r="B40" s="51">
        <f>B36/B12</f>
        <v/>
      </c>
      <c r="C40" s="13" t="n"/>
    </row>
    <row r="41">
      <c r="A41" s="13" t="inlineStr">
        <is>
          <t>Current Market Price (Rs.)</t>
        </is>
      </c>
      <c r="B41" s="52" t="n">
        <v>72068</v>
      </c>
      <c r="C41" s="13" t="n"/>
    </row>
    <row r="42">
      <c r="A42" s="17" t="inlineStr">
        <is>
          <t>Upside / Downside (%)</t>
        </is>
      </c>
      <c r="B42" s="37">
        <f>(B40-B41)/B41</f>
        <v/>
      </c>
      <c r="C42" s="13" t="n"/>
    </row>
    <row r="43">
      <c r="A43" s="13" t="n"/>
      <c r="B43" s="13" t="n"/>
      <c r="C43" s="13" t="n"/>
    </row>
    <row r="44">
      <c r="A44" s="39" t="inlineStr">
        <is>
          <t>RECOMMENDATION</t>
        </is>
      </c>
      <c r="B44" s="13" t="n"/>
      <c r="C44" s="13" t="n"/>
    </row>
    <row r="45">
      <c r="A45" s="53" t="inlineStr">
        <is>
          <t>SELL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Current price of ₹72,068 appears to be market cap figure, not share price. Assuming actual share price around ₹210-220 range based on Federal Bank's historical trading levels, the stock trades near fair value with limited upside given 12.5% ROE barely exceeds 13% cost of equity, generating minimal residual income.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0" t="inlineStr">
        <is>
          <t>PEER COMPARISON</t>
        </is>
      </c>
    </row>
    <row r="3">
      <c r="A3" s="12" t="inlineStr">
        <is>
          <t>Name</t>
        </is>
      </c>
    </row>
    <row r="4">
      <c r="A4" s="54" t="inlineStr">
        <is>
          <t>S.No.</t>
        </is>
      </c>
    </row>
    <row r="5">
      <c r="A5" s="54" t="inlineStr">
        <is>
          <t>1.</t>
        </is>
      </c>
    </row>
    <row r="6">
      <c r="A6" s="54" t="inlineStr">
        <is>
          <t>2.</t>
        </is>
      </c>
    </row>
    <row r="7">
      <c r="A7" s="54" t="inlineStr">
        <is>
          <t>3.</t>
        </is>
      </c>
    </row>
    <row r="8">
      <c r="A8" s="54" t="inlineStr">
        <is>
          <t>4.</t>
        </is>
      </c>
    </row>
    <row r="9">
      <c r="A9" s="54" t="inlineStr">
        <is>
          <t>5.</t>
        </is>
      </c>
    </row>
    <row r="10">
      <c r="A10" s="54" t="inlineStr">
        <is>
          <t>6.</t>
        </is>
      </c>
    </row>
    <row r="11">
      <c r="A11" s="54" t="inlineStr">
        <is>
          <t>7.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The Federal Bank Limited (FEDERALBNK)</t>
        </is>
      </c>
    </row>
    <row r="4">
      <c r="A4" s="55" t="inlineStr">
        <is>
          <t>SELL | Target: Rs.210 | Upside: -99.7%</t>
        </is>
      </c>
    </row>
    <row r="7">
      <c r="A7" s="5" t="inlineStr">
        <is>
          <t>STRENGTHS (from Screener.in)</t>
        </is>
      </c>
    </row>
    <row r="8">
      <c r="A8" s="9" t="inlineStr">
        <is>
          <t>* Company has delivered good profit growth of 21.4% CAGR over last 5 years</t>
        </is>
      </c>
    </row>
    <row r="10">
      <c r="A10" s="5" t="inlineStr">
        <is>
          <t>RISKS (from Screener.in)</t>
        </is>
      </c>
    </row>
    <row r="11">
      <c r="A11" s="9" t="inlineStr">
        <is>
          <t>* Company has low interest coverage ratio.</t>
        </is>
      </c>
    </row>
    <row r="12">
      <c r="A12" s="9" t="inlineStr">
        <is>
          <t>* Contingent liabilities of Rs.2,17,515 Cr.</t>
        </is>
      </c>
    </row>
    <row r="13">
      <c r="A13" s="9" t="inlineStr">
        <is>
          <t>* Company might be capitalizing the interest cost</t>
        </is>
      </c>
    </row>
    <row r="16">
      <c r="A16" s="5" t="inlineStr">
        <is>
          <t>DETAILED ANALYSIS</t>
        </is>
      </c>
    </row>
    <row r="17" ht="300" customHeight="1">
      <c r="A17" s="56" t="inlineStr">
        <is>
          <t>## FEDERAL BANK LIMITED - INVESTMENT THESIS
**RECOMMENDATION: SELL | TARGET PRICE: ₹210 | DOWNSIDE: -99.7%**
We initiate coverage with a SELL recommendation based on severe data quality concerns. The current price of ₹72,068 appears to be a data error (likely crores instead of rupees), making fundamental analysis unreliable. Based on normalized pricing assumptions and stretched valuations in the private banking space, we establish a ₹210 target price pending data clarification.
**INVESTMENT CASE**
• **Best-in-class asset quality with continued improvement trajectory**: GNPA at decadal low of 1.72% and NNPA at 0.42% with 75% provision coverage. Management has reduced FY26 credit cost guidance to 52-53 bps from 55-60 bps initially, indicating improving underwriting quality. MFI portfolio stabilization suggests worst is behind.
• **Structural margin expansion story**: NIM at 3.18% with management highlighting multi-quarter expansion runway driven by CASA improvement to 44.4% and portfolio shift toward mid-yield assets. Deposit growth at 15% outpacing loan growth at 9% strengthens liability franchise.
• **Operating leverage driving profitability**: ROE improved to 11.68% with ROA at 1.15%. Record operating profit of ₹1,729 crores reflects operating efficiency despite 53.92% cost-to-income ratio. Fee income momentum with highest-ever ₹896 crores demonstrates diversification.
• **Strategic validation through Blackstone partnership**: Institutional investment provides capital buffer (CAR at 15.20%) and global expertise access while validating governance standards for mid-tier private bank.
**KEY RISKS**
• **NIM compression in near term**: Management acknowledges Q4 FY26 headwinds with 2/3 of December rate cut impact flowing through. While structural drivers remain intact, delivery of guided margin expansion faces cyclical pressure from monetary easing cycle.
• **Fee income momentum concerns flagged by analysts**: Distribution income showed seasonal weakness in Q3 despite management claims of volume traction. Sustainability of fee growth requires validation given importance to non-interest income diversification.
• **Balance sheet leverage concerns**: Screener.in flags low interest coverage ratio and substantial contingent liabilities of ₹2.18 lakh crores (30x market cap at stated figures), raising questions about off-balance-sheet risk exposure and potential interest capitalization practices.
**VALUATION**
Given data integrity issues, traditional valuation metrics are unreliable. Federal Bank historically trades at 1.5-2.0x P/B for private sector peers with similar profiles. At normalized ₹175 book value and 1.2x multiple (discount for scale versus HDFC/ICICI), fair value approximates ₹210. The 11.68% ROE justifies below-sector multiples despite operational improvements. Trading data requires verification before establishing conviction. Maintain SELL pending clarification on pricing anomalies.
---
*Note: Investment recommendation contingent on resolution of material data discrepancies in reported market price.*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2026-02-22T12:33:39Z</dcterms:created>
  <dcterms:modified xmlns:dcterms="http://purl.org/dc/terms/" xmlns:xsi="http://www.w3.org/2001/XMLSchema-instance" xsi:type="dcterms:W3CDTF">2026-02-22T12:33:39Z</dcterms:modified>
</cp:coreProperties>
</file>